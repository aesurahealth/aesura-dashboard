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9500b7695161c9a8/Desktop/Claude/Aesura Dashboard/"/>
    </mc:Choice>
  </mc:AlternateContent>
  <xr:revisionPtr revIDLastSave="24" documentId="11_EFC957D4D3A7A63BB3036CA1164B0FB929E83294" xr6:coauthVersionLast="47" xr6:coauthVersionMax="47" xr10:uidLastSave="{49B0F89B-C9FC-4183-88C8-C71E213FD9FE}"/>
  <bookViews>
    <workbookView xWindow="1990" yWindow="4200" windowWidth="28800" windowHeight="15370" activeTab="1" xr2:uid="{00000000-000D-0000-FFFF-FFFF00000000}"/>
  </bookViews>
  <sheets>
    <sheet name="README" sheetId="1" r:id="rId1"/>
    <sheet name="Year Summary" sheetId="2" r:id="rId2"/>
    <sheet name="Singapore 2026" sheetId="3" r:id="rId3"/>
    <sheet name="Montreal 2026" sheetId="4" r:id="rId4"/>
    <sheet name="Spain 2026" sheetId="5" r:id="rId5"/>
    <sheet name="Japan 2027" sheetId="6" r:id="rId6"/>
    <sheet name="Cards" sheetId="7" r:id="rId7"/>
    <sheet name="3% Fee Tracker" sheetId="8" r:id="rId8"/>
    <sheet name="CPP Calculator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9" l="1"/>
  <c r="F8" i="9"/>
  <c r="F7" i="9"/>
  <c r="F6" i="9"/>
  <c r="G61" i="8"/>
  <c r="M59" i="8"/>
  <c r="J59" i="8"/>
  <c r="K59" i="8" s="1"/>
  <c r="L59" i="8" s="1"/>
  <c r="I59" i="8"/>
  <c r="M58" i="8"/>
  <c r="K58" i="8"/>
  <c r="L58" i="8" s="1"/>
  <c r="J58" i="8"/>
  <c r="I58" i="8"/>
  <c r="M57" i="8"/>
  <c r="J57" i="8"/>
  <c r="K57" i="8" s="1"/>
  <c r="L57" i="8" s="1"/>
  <c r="I57" i="8"/>
  <c r="M56" i="8"/>
  <c r="J56" i="8"/>
  <c r="K56" i="8" s="1"/>
  <c r="L56" i="8" s="1"/>
  <c r="I56" i="8"/>
  <c r="M55" i="8"/>
  <c r="J55" i="8"/>
  <c r="K55" i="8" s="1"/>
  <c r="L55" i="8" s="1"/>
  <c r="I55" i="8"/>
  <c r="M54" i="8"/>
  <c r="K54" i="8"/>
  <c r="L54" i="8" s="1"/>
  <c r="J54" i="8"/>
  <c r="I54" i="8"/>
  <c r="M53" i="8"/>
  <c r="J53" i="8"/>
  <c r="K53" i="8" s="1"/>
  <c r="L53" i="8" s="1"/>
  <c r="I53" i="8"/>
  <c r="M52" i="8"/>
  <c r="J52" i="8"/>
  <c r="K52" i="8" s="1"/>
  <c r="L52" i="8" s="1"/>
  <c r="I52" i="8"/>
  <c r="M51" i="8"/>
  <c r="J51" i="8"/>
  <c r="K51" i="8" s="1"/>
  <c r="L51" i="8" s="1"/>
  <c r="I51" i="8"/>
  <c r="M50" i="8"/>
  <c r="K50" i="8"/>
  <c r="L50" i="8" s="1"/>
  <c r="J50" i="8"/>
  <c r="I50" i="8"/>
  <c r="M49" i="8"/>
  <c r="J49" i="8"/>
  <c r="K49" i="8" s="1"/>
  <c r="L49" i="8" s="1"/>
  <c r="I49" i="8"/>
  <c r="M48" i="8"/>
  <c r="J48" i="8"/>
  <c r="K48" i="8" s="1"/>
  <c r="L48" i="8" s="1"/>
  <c r="I48" i="8"/>
  <c r="M47" i="8"/>
  <c r="J47" i="8"/>
  <c r="K47" i="8" s="1"/>
  <c r="L47" i="8" s="1"/>
  <c r="I47" i="8"/>
  <c r="M46" i="8"/>
  <c r="K46" i="8"/>
  <c r="L46" i="8" s="1"/>
  <c r="J46" i="8"/>
  <c r="I46" i="8"/>
  <c r="M45" i="8"/>
  <c r="J45" i="8"/>
  <c r="K45" i="8" s="1"/>
  <c r="L45" i="8" s="1"/>
  <c r="I45" i="8"/>
  <c r="M44" i="8"/>
  <c r="J44" i="8"/>
  <c r="K44" i="8" s="1"/>
  <c r="L44" i="8" s="1"/>
  <c r="I44" i="8"/>
  <c r="M43" i="8"/>
  <c r="J43" i="8"/>
  <c r="K43" i="8" s="1"/>
  <c r="L43" i="8" s="1"/>
  <c r="I43" i="8"/>
  <c r="M42" i="8"/>
  <c r="K42" i="8"/>
  <c r="L42" i="8" s="1"/>
  <c r="J42" i="8"/>
  <c r="I42" i="8"/>
  <c r="M41" i="8"/>
  <c r="J41" i="8"/>
  <c r="K41" i="8" s="1"/>
  <c r="L41" i="8" s="1"/>
  <c r="I41" i="8"/>
  <c r="M40" i="8"/>
  <c r="J40" i="8"/>
  <c r="K40" i="8" s="1"/>
  <c r="L40" i="8" s="1"/>
  <c r="I40" i="8"/>
  <c r="M39" i="8"/>
  <c r="J39" i="8"/>
  <c r="K39" i="8" s="1"/>
  <c r="L39" i="8" s="1"/>
  <c r="I39" i="8"/>
  <c r="M38" i="8"/>
  <c r="K38" i="8"/>
  <c r="L38" i="8" s="1"/>
  <c r="J38" i="8"/>
  <c r="I38" i="8"/>
  <c r="M37" i="8"/>
  <c r="J37" i="8"/>
  <c r="K37" i="8" s="1"/>
  <c r="L37" i="8" s="1"/>
  <c r="I37" i="8"/>
  <c r="M36" i="8"/>
  <c r="J36" i="8"/>
  <c r="K36" i="8" s="1"/>
  <c r="L36" i="8" s="1"/>
  <c r="I36" i="8"/>
  <c r="M35" i="8"/>
  <c r="J35" i="8"/>
  <c r="K35" i="8" s="1"/>
  <c r="L35" i="8" s="1"/>
  <c r="I35" i="8"/>
  <c r="M34" i="8"/>
  <c r="K34" i="8"/>
  <c r="L34" i="8" s="1"/>
  <c r="J34" i="8"/>
  <c r="I34" i="8"/>
  <c r="M33" i="8"/>
  <c r="J33" i="8"/>
  <c r="K33" i="8" s="1"/>
  <c r="L33" i="8" s="1"/>
  <c r="I33" i="8"/>
  <c r="M32" i="8"/>
  <c r="J32" i="8"/>
  <c r="K32" i="8" s="1"/>
  <c r="L32" i="8" s="1"/>
  <c r="I32" i="8"/>
  <c r="M31" i="8"/>
  <c r="J31" i="8"/>
  <c r="K31" i="8" s="1"/>
  <c r="L31" i="8" s="1"/>
  <c r="I31" i="8"/>
  <c r="M30" i="8"/>
  <c r="K30" i="8"/>
  <c r="L30" i="8" s="1"/>
  <c r="J30" i="8"/>
  <c r="I30" i="8"/>
  <c r="M29" i="8"/>
  <c r="J29" i="8"/>
  <c r="K29" i="8" s="1"/>
  <c r="L29" i="8" s="1"/>
  <c r="I29" i="8"/>
  <c r="M28" i="8"/>
  <c r="J28" i="8"/>
  <c r="K28" i="8" s="1"/>
  <c r="L28" i="8" s="1"/>
  <c r="I28" i="8"/>
  <c r="M27" i="8"/>
  <c r="J27" i="8"/>
  <c r="K27" i="8" s="1"/>
  <c r="L27" i="8" s="1"/>
  <c r="I27" i="8"/>
  <c r="M26" i="8"/>
  <c r="K26" i="8"/>
  <c r="L26" i="8" s="1"/>
  <c r="J26" i="8"/>
  <c r="I26" i="8"/>
  <c r="M25" i="8"/>
  <c r="J25" i="8"/>
  <c r="K25" i="8" s="1"/>
  <c r="L25" i="8" s="1"/>
  <c r="I25" i="8"/>
  <c r="M24" i="8"/>
  <c r="J24" i="8"/>
  <c r="K24" i="8" s="1"/>
  <c r="L24" i="8" s="1"/>
  <c r="I24" i="8"/>
  <c r="M23" i="8"/>
  <c r="J23" i="8"/>
  <c r="K23" i="8" s="1"/>
  <c r="L23" i="8" s="1"/>
  <c r="I23" i="8"/>
  <c r="M22" i="8"/>
  <c r="K22" i="8"/>
  <c r="L22" i="8" s="1"/>
  <c r="J22" i="8"/>
  <c r="I22" i="8"/>
  <c r="M21" i="8"/>
  <c r="J21" i="8"/>
  <c r="K21" i="8" s="1"/>
  <c r="L21" i="8" s="1"/>
  <c r="I21" i="8"/>
  <c r="M20" i="8"/>
  <c r="J20" i="8"/>
  <c r="K20" i="8" s="1"/>
  <c r="L20" i="8" s="1"/>
  <c r="I20" i="8"/>
  <c r="M19" i="8"/>
  <c r="J19" i="8"/>
  <c r="K19" i="8" s="1"/>
  <c r="L19" i="8" s="1"/>
  <c r="I19" i="8"/>
  <c r="M18" i="8"/>
  <c r="K18" i="8"/>
  <c r="L18" i="8" s="1"/>
  <c r="J18" i="8"/>
  <c r="I18" i="8"/>
  <c r="M17" i="8"/>
  <c r="J17" i="8"/>
  <c r="K17" i="8" s="1"/>
  <c r="L17" i="8" s="1"/>
  <c r="I17" i="8"/>
  <c r="M16" i="8"/>
  <c r="J16" i="8"/>
  <c r="K16" i="8" s="1"/>
  <c r="I16" i="8"/>
  <c r="M15" i="8"/>
  <c r="J15" i="8"/>
  <c r="K15" i="8" s="1"/>
  <c r="L15" i="8" s="1"/>
  <c r="I15" i="8"/>
  <c r="M14" i="8"/>
  <c r="K14" i="8"/>
  <c r="L14" i="8" s="1"/>
  <c r="J14" i="8"/>
  <c r="I14" i="8"/>
  <c r="M13" i="8"/>
  <c r="J13" i="8"/>
  <c r="K13" i="8" s="1"/>
  <c r="I13" i="8"/>
  <c r="M12" i="8"/>
  <c r="J12" i="8"/>
  <c r="K12" i="8" s="1"/>
  <c r="I12" i="8"/>
  <c r="M11" i="8"/>
  <c r="J11" i="8"/>
  <c r="K11" i="8" s="1"/>
  <c r="I11" i="8"/>
  <c r="J31" i="7"/>
  <c r="I31" i="7"/>
  <c r="G31" i="7"/>
  <c r="F31" i="7"/>
  <c r="E31" i="7"/>
  <c r="L30" i="7"/>
  <c r="K30" i="7"/>
  <c r="L29" i="7"/>
  <c r="K29" i="7"/>
  <c r="L28" i="7"/>
  <c r="K28" i="7"/>
  <c r="L27" i="7"/>
  <c r="K27" i="7"/>
  <c r="L26" i="7"/>
  <c r="K26" i="7"/>
  <c r="L25" i="7"/>
  <c r="K25" i="7"/>
  <c r="L24" i="7"/>
  <c r="K24" i="7"/>
  <c r="L23" i="7"/>
  <c r="K23" i="7"/>
  <c r="L22" i="7"/>
  <c r="K22" i="7"/>
  <c r="L21" i="7"/>
  <c r="K21" i="7"/>
  <c r="L20" i="7"/>
  <c r="K20" i="7"/>
  <c r="L19" i="7"/>
  <c r="K19" i="7"/>
  <c r="L18" i="7"/>
  <c r="K18" i="7"/>
  <c r="L17" i="7"/>
  <c r="K17" i="7"/>
  <c r="L16" i="7"/>
  <c r="K16" i="7"/>
  <c r="L15" i="7"/>
  <c r="K15" i="7"/>
  <c r="L14" i="7"/>
  <c r="K14" i="7"/>
  <c r="L13" i="7"/>
  <c r="K13" i="7"/>
  <c r="L12" i="7"/>
  <c r="K12" i="7"/>
  <c r="L11" i="7"/>
  <c r="K11" i="7"/>
  <c r="L10" i="7"/>
  <c r="K10" i="7"/>
  <c r="L9" i="7"/>
  <c r="K9" i="7"/>
  <c r="L8" i="7"/>
  <c r="K8" i="7"/>
  <c r="L7" i="7"/>
  <c r="K7" i="7"/>
  <c r="L6" i="7"/>
  <c r="K6" i="7"/>
  <c r="K50" i="6"/>
  <c r="J50" i="6"/>
  <c r="I50" i="6"/>
  <c r="K49" i="6"/>
  <c r="J49" i="6"/>
  <c r="I49" i="6"/>
  <c r="K48" i="6"/>
  <c r="J48" i="6"/>
  <c r="I48" i="6"/>
  <c r="K47" i="6"/>
  <c r="J47" i="6"/>
  <c r="I47" i="6"/>
  <c r="K46" i="6"/>
  <c r="J46" i="6"/>
  <c r="I46" i="6"/>
  <c r="K45" i="6"/>
  <c r="J45" i="6"/>
  <c r="I45" i="6"/>
  <c r="K44" i="6"/>
  <c r="J44" i="6"/>
  <c r="I44" i="6"/>
  <c r="K43" i="6"/>
  <c r="J43" i="6"/>
  <c r="I43" i="6"/>
  <c r="K42" i="6"/>
  <c r="J42" i="6"/>
  <c r="I42" i="6"/>
  <c r="K41" i="6"/>
  <c r="J41" i="6"/>
  <c r="I41" i="6"/>
  <c r="K40" i="6"/>
  <c r="J40" i="6"/>
  <c r="I40" i="6"/>
  <c r="K39" i="6"/>
  <c r="J39" i="6"/>
  <c r="I39" i="6"/>
  <c r="K38" i="6"/>
  <c r="J38" i="6"/>
  <c r="I38" i="6"/>
  <c r="K37" i="6"/>
  <c r="J37" i="6"/>
  <c r="I37" i="6"/>
  <c r="K36" i="6"/>
  <c r="J36" i="6"/>
  <c r="I36" i="6"/>
  <c r="K32" i="6"/>
  <c r="J32" i="6"/>
  <c r="I32" i="6"/>
  <c r="K31" i="6"/>
  <c r="J31" i="6"/>
  <c r="I31" i="6"/>
  <c r="K30" i="6"/>
  <c r="J30" i="6"/>
  <c r="I30" i="6"/>
  <c r="K29" i="6"/>
  <c r="J29" i="6"/>
  <c r="I29" i="6"/>
  <c r="K28" i="6"/>
  <c r="J28" i="6"/>
  <c r="I28" i="6"/>
  <c r="K27" i="6"/>
  <c r="J27" i="6"/>
  <c r="I27" i="6"/>
  <c r="K26" i="6"/>
  <c r="J26" i="6"/>
  <c r="I26" i="6"/>
  <c r="K25" i="6"/>
  <c r="J25" i="6"/>
  <c r="I25" i="6"/>
  <c r="K24" i="6"/>
  <c r="J24" i="6"/>
  <c r="I24" i="6"/>
  <c r="K23" i="6"/>
  <c r="J23" i="6"/>
  <c r="I23" i="6"/>
  <c r="K22" i="6"/>
  <c r="J22" i="6"/>
  <c r="I22" i="6"/>
  <c r="K21" i="6"/>
  <c r="J21" i="6"/>
  <c r="I21" i="6"/>
  <c r="K20" i="6"/>
  <c r="J20" i="6"/>
  <c r="I20" i="6"/>
  <c r="K19" i="6"/>
  <c r="J19" i="6"/>
  <c r="I19" i="6"/>
  <c r="K18" i="6"/>
  <c r="J18" i="6"/>
  <c r="I18" i="6"/>
  <c r="J14" i="6"/>
  <c r="H14" i="6"/>
  <c r="E14" i="6"/>
  <c r="B14" i="6"/>
  <c r="E11" i="6"/>
  <c r="H11" i="6" s="1"/>
  <c r="H31" i="2" s="1"/>
  <c r="B11" i="6"/>
  <c r="E31" i="2" s="1"/>
  <c r="E37" i="2" s="1"/>
  <c r="J8" i="6"/>
  <c r="F31" i="2" s="1"/>
  <c r="F37" i="2" s="1"/>
  <c r="H8" i="6"/>
  <c r="D31" i="2" s="1"/>
  <c r="D37" i="2" s="1"/>
  <c r="E8" i="6"/>
  <c r="B8" i="6"/>
  <c r="C31" i="2" s="1"/>
  <c r="C37" i="2" s="1"/>
  <c r="K50" i="5"/>
  <c r="J50" i="5"/>
  <c r="I50" i="5"/>
  <c r="K49" i="5"/>
  <c r="J49" i="5"/>
  <c r="I49" i="5"/>
  <c r="K48" i="5"/>
  <c r="J48" i="5"/>
  <c r="I48" i="5"/>
  <c r="K47" i="5"/>
  <c r="J47" i="5"/>
  <c r="I47" i="5"/>
  <c r="K46" i="5"/>
  <c r="J46" i="5"/>
  <c r="I46" i="5"/>
  <c r="K45" i="5"/>
  <c r="J45" i="5"/>
  <c r="I45" i="5"/>
  <c r="K44" i="5"/>
  <c r="J44" i="5"/>
  <c r="I44" i="5"/>
  <c r="K43" i="5"/>
  <c r="J43" i="5"/>
  <c r="I43" i="5"/>
  <c r="K42" i="5"/>
  <c r="J42" i="5"/>
  <c r="I42" i="5"/>
  <c r="K41" i="5"/>
  <c r="J41" i="5"/>
  <c r="I41" i="5"/>
  <c r="K40" i="5"/>
  <c r="J40" i="5"/>
  <c r="I40" i="5"/>
  <c r="K39" i="5"/>
  <c r="J39" i="5"/>
  <c r="I39" i="5"/>
  <c r="K38" i="5"/>
  <c r="J38" i="5"/>
  <c r="I38" i="5"/>
  <c r="K37" i="5"/>
  <c r="J37" i="5"/>
  <c r="I37" i="5"/>
  <c r="K36" i="5"/>
  <c r="J36" i="5"/>
  <c r="I36" i="5"/>
  <c r="K32" i="5"/>
  <c r="J32" i="5"/>
  <c r="I32" i="5"/>
  <c r="K31" i="5"/>
  <c r="J31" i="5"/>
  <c r="I31" i="5"/>
  <c r="K30" i="5"/>
  <c r="J30" i="5"/>
  <c r="I30" i="5"/>
  <c r="K29" i="5"/>
  <c r="J29" i="5"/>
  <c r="I29" i="5"/>
  <c r="K28" i="5"/>
  <c r="J28" i="5"/>
  <c r="I28" i="5"/>
  <c r="K27" i="5"/>
  <c r="J27" i="5"/>
  <c r="I27" i="5"/>
  <c r="K26" i="5"/>
  <c r="J26" i="5"/>
  <c r="I26" i="5"/>
  <c r="K25" i="5"/>
  <c r="J25" i="5"/>
  <c r="I25" i="5"/>
  <c r="K24" i="5"/>
  <c r="J24" i="5"/>
  <c r="I24" i="5"/>
  <c r="K23" i="5"/>
  <c r="J23" i="5"/>
  <c r="I23" i="5"/>
  <c r="K22" i="5"/>
  <c r="J22" i="5"/>
  <c r="I22" i="5"/>
  <c r="K21" i="5"/>
  <c r="J21" i="5"/>
  <c r="I21" i="5"/>
  <c r="K20" i="5"/>
  <c r="J20" i="5"/>
  <c r="I20" i="5"/>
  <c r="K19" i="5"/>
  <c r="J19" i="5"/>
  <c r="I19" i="5"/>
  <c r="K18" i="5"/>
  <c r="J18" i="5"/>
  <c r="I18" i="5"/>
  <c r="J14" i="5"/>
  <c r="H14" i="5"/>
  <c r="E14" i="5"/>
  <c r="B14" i="5"/>
  <c r="V7" i="2" s="1"/>
  <c r="E11" i="5"/>
  <c r="U7" i="2" s="1"/>
  <c r="B11" i="5"/>
  <c r="T7" i="2" s="1"/>
  <c r="J8" i="5"/>
  <c r="S7" i="2" s="1"/>
  <c r="H8" i="5"/>
  <c r="R7" i="2" s="1"/>
  <c r="E8" i="5"/>
  <c r="Q7" i="2" s="1"/>
  <c r="B8" i="5"/>
  <c r="P7" i="2" s="1"/>
  <c r="K50" i="4"/>
  <c r="J50" i="4"/>
  <c r="I50" i="4"/>
  <c r="K49" i="4"/>
  <c r="J49" i="4"/>
  <c r="I49" i="4"/>
  <c r="K48" i="4"/>
  <c r="J48" i="4"/>
  <c r="I48" i="4"/>
  <c r="K47" i="4"/>
  <c r="J47" i="4"/>
  <c r="I47" i="4"/>
  <c r="K46" i="4"/>
  <c r="J46" i="4"/>
  <c r="I46" i="4"/>
  <c r="K45" i="4"/>
  <c r="J45" i="4"/>
  <c r="I45" i="4"/>
  <c r="K44" i="4"/>
  <c r="J44" i="4"/>
  <c r="I44" i="4"/>
  <c r="K43" i="4"/>
  <c r="J43" i="4"/>
  <c r="I43" i="4"/>
  <c r="K42" i="4"/>
  <c r="J42" i="4"/>
  <c r="I42" i="4"/>
  <c r="K41" i="4"/>
  <c r="J41" i="4"/>
  <c r="I41" i="4"/>
  <c r="K40" i="4"/>
  <c r="J40" i="4"/>
  <c r="I40" i="4"/>
  <c r="K39" i="4"/>
  <c r="J39" i="4"/>
  <c r="I39" i="4"/>
  <c r="K38" i="4"/>
  <c r="J38" i="4"/>
  <c r="I38" i="4"/>
  <c r="K37" i="4"/>
  <c r="J37" i="4"/>
  <c r="I37" i="4"/>
  <c r="K36" i="4"/>
  <c r="J36" i="4"/>
  <c r="I36" i="4"/>
  <c r="K32" i="4"/>
  <c r="J32" i="4"/>
  <c r="I32" i="4"/>
  <c r="K31" i="4"/>
  <c r="J31" i="4"/>
  <c r="I31" i="4"/>
  <c r="K30" i="4"/>
  <c r="J30" i="4"/>
  <c r="I30" i="4"/>
  <c r="K29" i="4"/>
  <c r="J29" i="4"/>
  <c r="I29" i="4"/>
  <c r="K28" i="4"/>
  <c r="J28" i="4"/>
  <c r="I28" i="4"/>
  <c r="K27" i="4"/>
  <c r="J27" i="4"/>
  <c r="I27" i="4"/>
  <c r="K26" i="4"/>
  <c r="J26" i="4"/>
  <c r="I26" i="4"/>
  <c r="K25" i="4"/>
  <c r="J25" i="4"/>
  <c r="I25" i="4"/>
  <c r="K24" i="4"/>
  <c r="J24" i="4"/>
  <c r="I24" i="4"/>
  <c r="K23" i="4"/>
  <c r="J23" i="4"/>
  <c r="I23" i="4"/>
  <c r="K22" i="4"/>
  <c r="J22" i="4"/>
  <c r="I22" i="4"/>
  <c r="K21" i="4"/>
  <c r="J21" i="4"/>
  <c r="I21" i="4"/>
  <c r="K20" i="4"/>
  <c r="J20" i="4"/>
  <c r="I20" i="4"/>
  <c r="K19" i="4"/>
  <c r="J19" i="4"/>
  <c r="I19" i="4"/>
  <c r="K18" i="4"/>
  <c r="J18" i="4"/>
  <c r="I18" i="4"/>
  <c r="J14" i="4"/>
  <c r="J21" i="2" s="1"/>
  <c r="H14" i="4"/>
  <c r="E14" i="4"/>
  <c r="I21" i="2" s="1"/>
  <c r="B14" i="4"/>
  <c r="I28" i="2" s="1"/>
  <c r="E11" i="4"/>
  <c r="J11" i="4" s="1"/>
  <c r="B11" i="4"/>
  <c r="E21" i="2" s="1"/>
  <c r="J8" i="4"/>
  <c r="F21" i="2" s="1"/>
  <c r="H8" i="4"/>
  <c r="D21" i="2" s="1"/>
  <c r="E8" i="4"/>
  <c r="B8" i="4"/>
  <c r="C21" i="2" s="1"/>
  <c r="E44" i="2"/>
  <c r="J37" i="2"/>
  <c r="I37" i="2"/>
  <c r="J31" i="2"/>
  <c r="I31" i="2"/>
  <c r="G31" i="2"/>
  <c r="J22" i="2"/>
  <c r="I22" i="2"/>
  <c r="G22" i="2"/>
  <c r="F22" i="2"/>
  <c r="E22" i="2"/>
  <c r="D22" i="2"/>
  <c r="C22" i="2"/>
  <c r="I20" i="2"/>
  <c r="G20" i="2"/>
  <c r="F20" i="2"/>
  <c r="E20" i="2"/>
  <c r="E28" i="2" s="1"/>
  <c r="E39" i="2" s="1"/>
  <c r="D20" i="2"/>
  <c r="D28" i="2" s="1"/>
  <c r="D39" i="2" s="1"/>
  <c r="C20" i="2"/>
  <c r="C28" i="2" s="1"/>
  <c r="C39" i="2" s="1"/>
  <c r="Y8" i="2"/>
  <c r="X8" i="2"/>
  <c r="W8" i="2"/>
  <c r="V8" i="2"/>
  <c r="U8" i="2"/>
  <c r="T8" i="2"/>
  <c r="S8" i="2"/>
  <c r="R8" i="2"/>
  <c r="Q8" i="2"/>
  <c r="P8" i="2"/>
  <c r="Y7" i="2"/>
  <c r="X7" i="2"/>
  <c r="W7" i="2"/>
  <c r="Y6" i="2"/>
  <c r="X6" i="2"/>
  <c r="W6" i="2"/>
  <c r="V6" i="2"/>
  <c r="U6" i="2"/>
  <c r="T6" i="2"/>
  <c r="S6" i="2"/>
  <c r="R6" i="2"/>
  <c r="Q6" i="2"/>
  <c r="B6" i="2"/>
  <c r="Y5" i="2"/>
  <c r="K50" i="3"/>
  <c r="J50" i="3"/>
  <c r="I50" i="3"/>
  <c r="K49" i="3"/>
  <c r="J49" i="3"/>
  <c r="I49" i="3"/>
  <c r="K48" i="3"/>
  <c r="J48" i="3"/>
  <c r="I48" i="3"/>
  <c r="K47" i="3"/>
  <c r="J47" i="3"/>
  <c r="I47" i="3"/>
  <c r="K46" i="3"/>
  <c r="J46" i="3"/>
  <c r="I46" i="3"/>
  <c r="K45" i="3"/>
  <c r="J45" i="3"/>
  <c r="I45" i="3"/>
  <c r="K44" i="3"/>
  <c r="J44" i="3"/>
  <c r="I44" i="3"/>
  <c r="K43" i="3"/>
  <c r="J43" i="3"/>
  <c r="I43" i="3"/>
  <c r="K42" i="3"/>
  <c r="J42" i="3"/>
  <c r="I42" i="3"/>
  <c r="K41" i="3"/>
  <c r="J41" i="3"/>
  <c r="I41" i="3"/>
  <c r="K40" i="3"/>
  <c r="J40" i="3"/>
  <c r="I40" i="3"/>
  <c r="K39" i="3"/>
  <c r="J39" i="3"/>
  <c r="I39" i="3"/>
  <c r="K38" i="3"/>
  <c r="J38" i="3"/>
  <c r="I38" i="3"/>
  <c r="K37" i="3"/>
  <c r="J37" i="3"/>
  <c r="I37" i="3"/>
  <c r="K36" i="3"/>
  <c r="J36" i="3"/>
  <c r="I36" i="3"/>
  <c r="K32" i="3"/>
  <c r="J32" i="3"/>
  <c r="I32" i="3"/>
  <c r="K31" i="3"/>
  <c r="J31" i="3"/>
  <c r="I31" i="3"/>
  <c r="K30" i="3"/>
  <c r="J30" i="3"/>
  <c r="I30" i="3"/>
  <c r="K29" i="3"/>
  <c r="J29" i="3"/>
  <c r="I29" i="3"/>
  <c r="K28" i="3"/>
  <c r="J28" i="3"/>
  <c r="I28" i="3"/>
  <c r="K27" i="3"/>
  <c r="J27" i="3"/>
  <c r="I27" i="3"/>
  <c r="K26" i="3"/>
  <c r="J26" i="3"/>
  <c r="I26" i="3"/>
  <c r="K25" i="3"/>
  <c r="J25" i="3"/>
  <c r="I25" i="3"/>
  <c r="K24" i="3"/>
  <c r="J24" i="3"/>
  <c r="I24" i="3"/>
  <c r="K23" i="3"/>
  <c r="J23" i="3"/>
  <c r="I23" i="3"/>
  <c r="K22" i="3"/>
  <c r="J22" i="3"/>
  <c r="I22" i="3"/>
  <c r="K21" i="3"/>
  <c r="J21" i="3"/>
  <c r="I21" i="3"/>
  <c r="K20" i="3"/>
  <c r="J20" i="3"/>
  <c r="I20" i="3"/>
  <c r="K19" i="3"/>
  <c r="J19" i="3"/>
  <c r="I19" i="3"/>
  <c r="K18" i="3"/>
  <c r="J18" i="3"/>
  <c r="I18" i="3"/>
  <c r="J14" i="3"/>
  <c r="J28" i="2" s="1"/>
  <c r="H14" i="3"/>
  <c r="W5" i="2" s="1"/>
  <c r="F14" i="2" s="1"/>
  <c r="E14" i="3"/>
  <c r="B14" i="3"/>
  <c r="X5" i="2" s="1"/>
  <c r="E11" i="3"/>
  <c r="J11" i="3" s="1"/>
  <c r="B11" i="3"/>
  <c r="T5" i="2" s="1"/>
  <c r="B11" i="2" s="1"/>
  <c r="J8" i="3"/>
  <c r="S5" i="2" s="1"/>
  <c r="H8" i="2" s="1"/>
  <c r="H8" i="3"/>
  <c r="R5" i="2" s="1"/>
  <c r="E8" i="3"/>
  <c r="Q5" i="2" s="1"/>
  <c r="B8" i="3"/>
  <c r="P5" i="2" s="1"/>
  <c r="L13" i="8" l="1"/>
  <c r="L12" i="8"/>
  <c r="L16" i="8"/>
  <c r="I61" i="8"/>
  <c r="E45" i="2" s="1"/>
  <c r="E43" i="2"/>
  <c r="K31" i="7"/>
  <c r="F28" i="2"/>
  <c r="F39" i="2" s="1"/>
  <c r="H28" i="2"/>
  <c r="H37" i="2"/>
  <c r="J39" i="2"/>
  <c r="D8" i="2"/>
  <c r="K61" i="8"/>
  <c r="L11" i="8"/>
  <c r="F8" i="2"/>
  <c r="P6" i="2"/>
  <c r="B8" i="2" s="1"/>
  <c r="G37" i="2"/>
  <c r="J20" i="2"/>
  <c r="G28" i="2"/>
  <c r="G39" i="2" s="1"/>
  <c r="J61" i="8"/>
  <c r="H11" i="3"/>
  <c r="H20" i="2" s="1"/>
  <c r="J11" i="6"/>
  <c r="H11" i="5"/>
  <c r="H22" i="2" s="1"/>
  <c r="U5" i="2"/>
  <c r="G21" i="2"/>
  <c r="H11" i="4"/>
  <c r="H21" i="2" s="1"/>
  <c r="J11" i="5"/>
  <c r="V5" i="2"/>
  <c r="B14" i="2" s="1"/>
  <c r="H14" i="2"/>
  <c r="L61" i="8" l="1"/>
  <c r="E46" i="2" s="1"/>
  <c r="H11" i="2"/>
  <c r="F11" i="2"/>
  <c r="H39" i="2"/>
  <c r="D11" i="2"/>
  <c r="D14" i="2"/>
  <c r="I39" i="2"/>
</calcChain>
</file>

<file path=xl/sharedStrings.xml><?xml version="1.0" encoding="utf-8"?>
<sst xmlns="http://schemas.openxmlformats.org/spreadsheetml/2006/main" count="586" uniqueCount="299">
  <si>
    <t>SINGAPORE 2026</t>
  </si>
  <si>
    <t>Trip Name</t>
  </si>
  <si>
    <t>Singapore Trip</t>
  </si>
  <si>
    <t>Dates</t>
  </si>
  <si>
    <t>Apr 15 - Apr 26, 2026</t>
  </si>
  <si>
    <t>Notes</t>
  </si>
  <si>
    <t>Singapore + Fuzhou with kids</t>
  </si>
  <si>
    <t xml:space="preserve">  TRIP SUMMARY</t>
  </si>
  <si>
    <t>Total Trip Cost</t>
  </si>
  <si>
    <t>Cash on Redemptions</t>
  </si>
  <si>
    <t>Activities Cash</t>
  </si>
  <si>
    <t>Points Used</t>
  </si>
  <si>
    <t>Sticker Value</t>
  </si>
  <si>
    <t>Total Savings</t>
  </si>
  <si>
    <t>Blended CPP</t>
  </si>
  <si>
    <t>% Off Sticker</t>
  </si>
  <si>
    <t>Airline Points</t>
  </si>
  <si>
    <t>Airline CPP</t>
  </si>
  <si>
    <t>Hotel Points</t>
  </si>
  <si>
    <t>Hotel CPP</t>
  </si>
  <si>
    <t xml:space="preserve">  FLIGHTS</t>
  </si>
  <si>
    <t>Date</t>
  </si>
  <si>
    <t>Airline</t>
  </si>
  <si>
    <t>Route</t>
  </si>
  <si>
    <t>Class</t>
  </si>
  <si>
    <t>Points</t>
  </si>
  <si>
    <t>Tax + Fee ($)</t>
  </si>
  <si>
    <t>Sticker ($)</t>
  </si>
  <si>
    <t>CPP (¢)</t>
  </si>
  <si>
    <t>Savings ($)</t>
  </si>
  <si>
    <t>% Off</t>
  </si>
  <si>
    <t>SQ via Aeroplan</t>
  </si>
  <si>
    <t>JFK-SIN</t>
  </si>
  <si>
    <t>Business</t>
  </si>
  <si>
    <t>Aeroplan award</t>
  </si>
  <si>
    <t>SQ via KrisFlyer</t>
  </si>
  <si>
    <t>KrisFlyer</t>
  </si>
  <si>
    <t>SIN-JFK</t>
  </si>
  <si>
    <t>Aeroplan return</t>
  </si>
  <si>
    <t>KrisFlyer return</t>
  </si>
  <si>
    <t>SIN-FOC (cash)</t>
  </si>
  <si>
    <t>Singapore-Fuzhou</t>
  </si>
  <si>
    <t>Economy</t>
  </si>
  <si>
    <t>Paid cash</t>
  </si>
  <si>
    <t xml:space="preserve">  HOTELS</t>
  </si>
  <si>
    <t>Check-in</t>
  </si>
  <si>
    <t>Hotel</t>
  </si>
  <si>
    <t>Location</t>
  </si>
  <si>
    <t>Nights</t>
  </si>
  <si>
    <t>Shangri-La SIN</t>
  </si>
  <si>
    <t>Singapore</t>
  </si>
  <si>
    <t>FHR Credit</t>
  </si>
  <si>
    <t>Shangri-La FOC</t>
  </si>
  <si>
    <t>Fuzhou</t>
  </si>
  <si>
    <t>Cap X credit</t>
  </si>
  <si>
    <t>Hilton FOC</t>
  </si>
  <si>
    <t>Cash</t>
  </si>
  <si>
    <t xml:space="preserve">  ACTIVITIES &amp; EXPERIENCES</t>
  </si>
  <si>
    <t>Activity</t>
  </si>
  <si>
    <t>Vendor</t>
  </si>
  <si>
    <t>Travelers</t>
  </si>
  <si>
    <t>Cash ($)</t>
  </si>
  <si>
    <t>Currency</t>
  </si>
  <si>
    <t>Category</t>
  </si>
  <si>
    <t>VACATION TRACKER — README</t>
  </si>
  <si>
    <t>STRUCTURE</t>
  </si>
  <si>
    <t>Year Summary  rolls up totals across every destination tab.</t>
  </si>
  <si>
    <t>Destination tabs (Singapore 2026, Montreal 2026, Spain 2026, Japan 2027)  log flights, hotels, activities directly.</t>
  </si>
  <si>
    <t>Cards  credit card AF / signup bonus tracker.</t>
  </si>
  <si>
    <t>3% Fee Tracker  non-bonus spend that earns points worth more than the 3% fee.</t>
  </si>
  <si>
    <t>CPP Calculator  quick check whether a redemption beats your target CPP.</t>
  </si>
  <si>
    <t>HOW TO LOG A TRIP</t>
  </si>
  <si>
    <t>1. Pick the destination tab.</t>
  </si>
  <si>
    <t>2. Under FLIGHTS, fill in Date, Airline, Route, Class, Points, Tax + Fee, Sticker, Notes.</t>
  </si>
  <si>
    <t>3. Under HOTELS, fill in Check-in, Hotel, Location, Nights, Points, Tax + Fee, Sticker, Notes.</t>
  </si>
  <si>
    <t>4. Under ACTIVITIES, fill in Date, Activity, Vendor, Travelers, Cash, Currency, Category, Notes.</t>
  </si>
  <si>
    <t>5. CPP, Savings, and % Off calculate automatically. KPI band at top updates live.</t>
  </si>
  <si>
    <t>FORMULAS (per redemption row)</t>
  </si>
  <si>
    <t>CPP (cents)   =  (Sticker  Tax/Fee) / Points * 100</t>
  </si>
  <si>
    <t>Savings ($)   =  MAX(Sticker  Tax/Fee, 0)</t>
  </si>
  <si>
    <t>% Off         =  MAX((Sticker  Tax/Fee) / Sticker, 0)</t>
  </si>
  <si>
    <t>FORMULAS (trip totals at top of each destination tab)</t>
  </si>
  <si>
    <t>Total Trip Cost      =  Sum of flight Tax/Fee  +  hotel Tax/Fee  +  activity Cash</t>
  </si>
  <si>
    <t>Cash on Redemptions  =  Sum of flight Tax/Fee  +  hotel Tax/Fee</t>
  </si>
  <si>
    <t>Sticker Value        =  Sum of flight Sticker  +  hotel Sticker</t>
  </si>
  <si>
    <t>Total Savings        =  Sticker Value  Cash on Redemptions</t>
  </si>
  <si>
    <t>Blended CPP          =  Total Savings / Points Used * 100</t>
  </si>
  <si>
    <t>% Off Sticker        =  Total Savings / Sticker Value</t>
  </si>
  <si>
    <t>TO ADD A NEW DESTINATION</t>
  </si>
  <si>
    <t>Right-click any destination tab &gt; Move or Copy &gt; check Create a copy &gt; rename.</t>
  </si>
  <si>
    <t>Update the Trip Name and Dates in row 4. Clear the data rows under each section.</t>
  </si>
  <si>
    <t>Add a row in the BY TRIP table on Year Summary referencing the new tab's B8/E11/etc.</t>
  </si>
  <si>
    <t>TIPS</t>
  </si>
  <si>
    <t>Leave Points = 0 for fully-cash bookings  Tax/Fee column then equals Cash spent.</t>
  </si>
  <si>
    <t>Set your target CPP on the CPP Calculator before booking new awards.</t>
  </si>
  <si>
    <t>3% Fee Tracker uses CPP from M6  update it if your point value changes.</t>
  </si>
  <si>
    <t>VACATION YEAR SUMMARY</t>
  </si>
  <si>
    <t>HELPER (do not edit)</t>
  </si>
  <si>
    <t>Year</t>
  </si>
  <si>
    <t>Change the Year cell to filter the totals below.</t>
  </si>
  <si>
    <t>Trip</t>
  </si>
  <si>
    <t>Trip Cost</t>
  </si>
  <si>
    <t>Cash on Red.</t>
  </si>
  <si>
    <t>Activities</t>
  </si>
  <si>
    <t>Sticker</t>
  </si>
  <si>
    <t>Savings</t>
  </si>
  <si>
    <t>Airline Pts</t>
  </si>
  <si>
    <t>Hotel Pts</t>
  </si>
  <si>
    <t>Air W</t>
  </si>
  <si>
    <t>Hot W</t>
  </si>
  <si>
    <t>Singapore 2026</t>
  </si>
  <si>
    <t>Montreal 2026</t>
  </si>
  <si>
    <t>Total Vacation Spend</t>
  </si>
  <si>
    <t>Spain 2026</t>
  </si>
  <si>
    <t>Japan 2027</t>
  </si>
  <si>
    <t>(add trip name)</t>
  </si>
  <si>
    <t>(year)</t>
  </si>
  <si>
    <t xml:space="preserve">  BY TRIP — GROUPED BY YEAR</t>
  </si>
  <si>
    <t>Trip Cost ($)</t>
  </si>
  <si>
    <t>Activities ($)</t>
  </si>
  <si>
    <t>Blended CPP (¢)</t>
  </si>
  <si>
    <t>Airline CPP (¢)</t>
  </si>
  <si>
    <t>Hotel CPP (¢)</t>
  </si>
  <si>
    <t xml:space="preserve">  2026</t>
  </si>
  <si>
    <t>(add trip)</t>
  </si>
  <si>
    <t xml:space="preserve">  2026 subtotal</t>
  </si>
  <si>
    <t xml:space="preserve">  2027</t>
  </si>
  <si>
    <t xml:space="preserve">  2027 subtotal</t>
  </si>
  <si>
    <t>GRAND TOTAL</t>
  </si>
  <si>
    <t xml:space="preserve">  CARDS &amp; FEES</t>
  </si>
  <si>
    <t>Net Card Profit</t>
  </si>
  <si>
    <t>3% Fee Spend (Total)</t>
  </si>
  <si>
    <t>3% Fee Paid (Total)</t>
  </si>
  <si>
    <t>3% Fee Net Value</t>
  </si>
  <si>
    <t>MONTREAL 2026</t>
  </si>
  <si>
    <t>Montreal Trip</t>
  </si>
  <si>
    <t>Feb 12 - Feb 17, 2026</t>
  </si>
  <si>
    <t>Omni Mont-Royal</t>
  </si>
  <si>
    <t>Montreal</t>
  </si>
  <si>
    <t>SPAIN 2026</t>
  </si>
  <si>
    <t>Spain Trip</t>
  </si>
  <si>
    <t>Jul 26 - Aug 7, 2026</t>
  </si>
  <si>
    <t>Barcelona / San Sebastian / Valencia</t>
  </si>
  <si>
    <t>Drive/Train</t>
  </si>
  <si>
    <t>JFK-BOS positioning</t>
  </si>
  <si>
    <t>Drive/train</t>
  </si>
  <si>
    <t>Alaska</t>
  </si>
  <si>
    <t>BOS-BCN</t>
  </si>
  <si>
    <t>Sweet spot via ATMOS</t>
  </si>
  <si>
    <t>Vueling</t>
  </si>
  <si>
    <t>BCN-BIO</t>
  </si>
  <si>
    <t>VY1430 AF37KV</t>
  </si>
  <si>
    <t>BIO-VLC</t>
  </si>
  <si>
    <t>VY3972 VF8SUL</t>
  </si>
  <si>
    <t>AF/KLM</t>
  </si>
  <si>
    <t>VLC-JFK</t>
  </si>
  <si>
    <t>Return via Amex</t>
  </si>
  <si>
    <t>InterContinental BCN</t>
  </si>
  <si>
    <t>Barcelona</t>
  </si>
  <si>
    <t>CSR + $500 Chase Edit credit</t>
  </si>
  <si>
    <t>Barcelona Gothic/Sagrada Tour</t>
  </si>
  <si>
    <t>Viator</t>
  </si>
  <si>
    <t>USD</t>
  </si>
  <si>
    <t>Tours</t>
  </si>
  <si>
    <t>Morning-afternoon</t>
  </si>
  <si>
    <t>Museu de la Xocolata Workshop</t>
  </si>
  <si>
    <t>Direct</t>
  </si>
  <si>
    <t>Experiences</t>
  </si>
  <si>
    <t>Book 2-3 wk ahead</t>
  </si>
  <si>
    <t>Montserrat + Tapas + Winery</t>
  </si>
  <si>
    <t>Klook</t>
  </si>
  <si>
    <t>Mosaic Workshop</t>
  </si>
  <si>
    <t>GetMyGuide</t>
  </si>
  <si>
    <t>mosaiccos.com</t>
  </si>
  <si>
    <t>Barcelona Photoshoot</t>
  </si>
  <si>
    <t>Photography</t>
  </si>
  <si>
    <t>Family photoshoot</t>
  </si>
  <si>
    <t>Elkano Lunch (1-star Michelin)</t>
  </si>
  <si>
    <t>Dining</t>
  </si>
  <si>
    <t>Reserve far ahead</t>
  </si>
  <si>
    <t>Oceanografic Aquarium</t>
  </si>
  <si>
    <t>Attractions</t>
  </si>
  <si>
    <t>Valencia</t>
  </si>
  <si>
    <t>Valencia Science Museum</t>
  </si>
  <si>
    <t>JAPAN 2027</t>
  </si>
  <si>
    <t>Japan Trip</t>
  </si>
  <si>
    <t>Feb 5 - Feb 21, 2027</t>
  </si>
  <si>
    <t>Tokyo / Sapporo / Kanazawa</t>
  </si>
  <si>
    <t>TeamLab Planets</t>
  </si>
  <si>
    <t>Buy advance tickets</t>
  </si>
  <si>
    <t>Matcha Ceremony Maikoya</t>
  </si>
  <si>
    <t>Asakusa or Shinjuku</t>
  </si>
  <si>
    <t>Tokyo DisneySea</t>
  </si>
  <si>
    <t>Full day</t>
  </si>
  <si>
    <t>Shinkansen Tokyo-Kanazawa</t>
  </si>
  <si>
    <t>JR</t>
  </si>
  <si>
    <t>Transport</t>
  </si>
  <si>
    <t>2.5-3h</t>
  </si>
  <si>
    <t>Cards — Annual Fee &amp; Bonus Tracker</t>
  </si>
  <si>
    <t>First Year Net = Bonus Value + Credits Used − Annual Fee.</t>
  </si>
  <si>
    <t>Card</t>
  </si>
  <si>
    <t>Open Date</t>
  </si>
  <si>
    <t>Issuer</t>
  </si>
  <si>
    <t>AF ($)</t>
  </si>
  <si>
    <t>Bonus Pts</t>
  </si>
  <si>
    <t>Min Spend ($)</t>
  </si>
  <si>
    <t>Bonus Hit?</t>
  </si>
  <si>
    <t>Bonus Value ($)</t>
  </si>
  <si>
    <t>Credits Used ($)</t>
  </si>
  <si>
    <t>First Year Net ($)</t>
  </si>
  <si>
    <t>AF Renewal Date</t>
  </si>
  <si>
    <t>Amex Business Platinum #1</t>
  </si>
  <si>
    <t>Amex</t>
  </si>
  <si>
    <t>Yes</t>
  </si>
  <si>
    <t>Biz Plat; Dell + wireless + flight credits</t>
  </si>
  <si>
    <t>Amex Business Platinum #2</t>
  </si>
  <si>
    <t>Biz Plat; second line</t>
  </si>
  <si>
    <t>Amex Business Platinum #3</t>
  </si>
  <si>
    <t>Biz Plat; third line</t>
  </si>
  <si>
    <t>Amex Business Gold #1</t>
  </si>
  <si>
    <t>Biz Gold; flexible 4x category</t>
  </si>
  <si>
    <t>Amex Business Gold #2</t>
  </si>
  <si>
    <t>Biz Gold; second line</t>
  </si>
  <si>
    <t>Blue Business Plus #1</t>
  </si>
  <si>
    <t>BBP; 2x everywhere up to $50k/yr</t>
  </si>
  <si>
    <t>Blue Business Plus #2</t>
  </si>
  <si>
    <t>BBP; second line</t>
  </si>
  <si>
    <t>Chase Sapphire Reserve</t>
  </si>
  <si>
    <t>Chase</t>
  </si>
  <si>
    <t>$300 travel credit; CSR portal 1.5x</t>
  </si>
  <si>
    <t>Chase Sapphire Preferred</t>
  </si>
  <si>
    <t>Long-held; downgrade candidate</t>
  </si>
  <si>
    <t>Capital One Venture X</t>
  </si>
  <si>
    <t>Capital One</t>
  </si>
  <si>
    <t>$300 portal + $100 Global Entry</t>
  </si>
  <si>
    <t>Capital One Spark</t>
  </si>
  <si>
    <t>—</t>
  </si>
  <si>
    <t>Business card</t>
  </si>
  <si>
    <t>Bilt 2.0</t>
  </si>
  <si>
    <t>Wells Fargo</t>
  </si>
  <si>
    <t>Mortgage points via UWM</t>
  </si>
  <si>
    <t>TOTALS</t>
  </si>
  <si>
    <t>3% Fee Spend Tracker</t>
  </si>
  <si>
    <t>Daycare, taxes, etc. — non-bonus spend you pay by card. Tracks breakeven and net value.</t>
  </si>
  <si>
    <t>ASSUMPTIONS</t>
  </si>
  <si>
    <t>Your CPP (¢)</t>
  </si>
  <si>
    <t>Default fee rate</t>
  </si>
  <si>
    <t>Net = (Pts × CPP) − Fee</t>
  </si>
  <si>
    <t>Positive = good call</t>
  </si>
  <si>
    <t>Payee</t>
  </si>
  <si>
    <t>Card Used</t>
  </si>
  <si>
    <t>Earn Rate (x)</t>
  </si>
  <si>
    <t>Charge ($)</t>
  </si>
  <si>
    <t>Fee Rate</t>
  </si>
  <si>
    <t>Fee Paid ($)</t>
  </si>
  <si>
    <t>Points Earned</t>
  </si>
  <si>
    <t>Points Value ($)</t>
  </si>
  <si>
    <t>Net Value ($)</t>
  </si>
  <si>
    <t>Breakeven CPP</t>
  </si>
  <si>
    <t>Derek's Daycare</t>
  </si>
  <si>
    <t>Childcare</t>
  </si>
  <si>
    <t>Amex Biz blue</t>
  </si>
  <si>
    <t>Monthly</t>
  </si>
  <si>
    <t>Income Tax Q1</t>
  </si>
  <si>
    <t>Taxes</t>
  </si>
  <si>
    <t>Blue Biz Plus #</t>
  </si>
  <si>
    <t>Amex Biz Gold #1</t>
  </si>
  <si>
    <t>Cents Per Point Calculator</t>
  </si>
  <si>
    <t>Quick cash vs. points decision for any single booking.</t>
  </si>
  <si>
    <t>INPUTS</t>
  </si>
  <si>
    <t>OUTPUTS</t>
  </si>
  <si>
    <t>Cash Price ($)</t>
  </si>
  <si>
    <t>Net cash saved by using points</t>
  </si>
  <si>
    <t>Taxes + Fees if using points ($)</t>
  </si>
  <si>
    <t>Cents per point delivered</t>
  </si>
  <si>
    <t>Points Required</t>
  </si>
  <si>
    <t>Verdict</t>
  </si>
  <si>
    <t>Your Target CPP (¢)</t>
  </si>
  <si>
    <t>Points value at your target CPP</t>
  </si>
  <si>
    <t>REFERENCE — typical CPP benchmarks</t>
  </si>
  <si>
    <t>Chase UR — transfer to partners</t>
  </si>
  <si>
    <t>1.5 - 2.5¢</t>
  </si>
  <si>
    <t>Chase UR — CSR portal</t>
  </si>
  <si>
    <t>1.5¢</t>
  </si>
  <si>
    <t>Amex MR — transfer to airlines</t>
  </si>
  <si>
    <t>1.5 - 2¢</t>
  </si>
  <si>
    <t>Amex MR — Pay With Points</t>
  </si>
  <si>
    <t>0.7¢</t>
  </si>
  <si>
    <t>Capital One Miles — transfer</t>
  </si>
  <si>
    <t>1.4 - 1.85¢</t>
  </si>
  <si>
    <t>Capital One — travel portal</t>
  </si>
  <si>
    <t>1.0¢</t>
  </si>
  <si>
    <t>Hilton Honors</t>
  </si>
  <si>
    <t>0.4 - 0.6¢</t>
  </si>
  <si>
    <t>Marriott Bonvoy</t>
  </si>
  <si>
    <t>0.7 - 0.9¢</t>
  </si>
  <si>
    <t>Bilt — transfer to partners</t>
  </si>
  <si>
    <t>-</t>
  </si>
  <si>
    <t>Amex Biz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</si>
</sst>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\$#,##0;&quot;($&quot;#,##0\);\-"/>
    <numFmt numFmtId="165" formatCode="#,##0;\(#,##0\);\-"/>
    <numFmt numFmtId="166" formatCode="0.000\¢"/>
    <numFmt numFmtId="167" formatCode="mm/dd/yyyy"/>
    <numFmt numFmtId="168" formatCode="\$#,##0.00;&quot;($&quot;#,##0.00\);\-"/>
    <numFmt numFmtId="169" formatCode="0.0%;\(0.0%\);\-"/>
    <numFmt numFmtId="170" formatCode="_(\$* #,##0.00_);_(\$* \(#,##0.00\);_(\$* &quot;-&quot;??_);_(@_)"/>
    <numFmt numFmtId="171" formatCode="#,##0;\(#,##0\);&quot;-&quot;"/>
    <numFmt numFmtId="172" formatCode="0.00\ &quot;¢&quot;;\(0.00\ &quot;¢&quot;\);&quot;-&quot;"/>
    <numFmt numFmtId="173" formatCode="0.0%;\(0.0%\);&quot;-&quot;"/>
    <numFmt numFmtId="175" formatCode="mmm\ d\,\ yyyy"/>
  </numFmts>
  <fonts count="25" x14ac:knownFonts="1">
    <font>
      <sz val="11"/>
      <name val="Calibri"/>
      <scheme val="minor"/>
    </font>
    <font>
      <b/>
      <sz val="20"/>
      <color rgb="FF5C544A"/>
      <name val="Arial"/>
    </font>
    <font>
      <i/>
      <sz val="11"/>
      <color rgb="FF8B7E6E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10"/>
      <color rgb="FF0000FF"/>
      <name val="Arial"/>
    </font>
    <font>
      <b/>
      <sz val="10"/>
      <color rgb="FFFFFFFF"/>
      <name val="Arial"/>
    </font>
    <font>
      <sz val="10"/>
      <color rgb="FF0000FF"/>
      <name val="Arial"/>
    </font>
    <font>
      <b/>
      <sz val="10"/>
      <color rgb="FF008000"/>
      <name val="Arial"/>
    </font>
    <font>
      <b/>
      <sz val="20"/>
      <color rgb="FFFFFFFF"/>
      <name val="Calibri"/>
    </font>
    <font>
      <sz val="10"/>
      <color rgb="FF5C4F42"/>
      <name val="Calibri"/>
    </font>
    <font>
      <b/>
      <sz val="11"/>
      <color rgb="FF5C4F42"/>
      <name val="Calibri"/>
    </font>
    <font>
      <b/>
      <sz val="10"/>
      <color rgb="FF5C4F42"/>
      <name val="Calibri"/>
    </font>
    <font>
      <b/>
      <sz val="12"/>
      <color rgb="FFFFFFFF"/>
      <name val="Calibri"/>
    </font>
    <font>
      <b/>
      <sz val="14"/>
      <color rgb="FF5C4F42"/>
      <name val="Calibri"/>
    </font>
    <font>
      <b/>
      <sz val="10"/>
      <color rgb="FFFFFFFF"/>
      <name val="Calibri"/>
    </font>
    <font>
      <i/>
      <sz val="10"/>
      <color rgb="FF8C7B6B"/>
      <name val="Calibri"/>
    </font>
    <font>
      <i/>
      <sz val="9"/>
      <color rgb="FFA89B8C"/>
      <name val="Calibri"/>
    </font>
    <font>
      <b/>
      <sz val="9"/>
      <color rgb="FF8C7B6B"/>
      <name val="Calibri"/>
    </font>
    <font>
      <sz val="9"/>
      <color rgb="FF8C7B6B"/>
      <name val="Calibri"/>
    </font>
    <font>
      <i/>
      <sz val="9"/>
      <color rgb="FFC0B5A6"/>
      <name val="Calibri"/>
    </font>
    <font>
      <b/>
      <sz val="11"/>
      <color rgb="FFFFFFFF"/>
      <name val="Calibri"/>
    </font>
    <font>
      <i/>
      <sz val="10"/>
      <color rgb="FFC0B5A6"/>
      <name val="Calibri"/>
    </font>
    <font>
      <b/>
      <sz val="11"/>
      <color rgb="FF5C4F42"/>
      <name val="Calibri"/>
    </font>
    <font>
      <b/>
      <sz val="11"/>
      <color rgb="FFFFFFFF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D8D0C5"/>
        <bgColor rgb="FFD8D0C5"/>
      </patternFill>
    </fill>
    <fill>
      <patternFill patternType="solid">
        <fgColor rgb="FFF5F0E8"/>
        <bgColor rgb="FFF5F0E8"/>
      </patternFill>
    </fill>
    <fill>
      <patternFill patternType="solid">
        <fgColor rgb="FF5C544A"/>
        <bgColor rgb="FF5C544A"/>
      </patternFill>
    </fill>
    <fill>
      <patternFill patternType="solid">
        <fgColor rgb="FF8C7B6B"/>
      </patternFill>
    </fill>
    <fill>
      <patternFill patternType="solid">
        <fgColor rgb="FFE8DFD3"/>
      </patternFill>
    </fill>
    <fill>
      <patternFill patternType="solid">
        <fgColor rgb="FFFAF6EF"/>
      </patternFill>
    </fill>
    <fill>
      <patternFill patternType="solid">
        <fgColor rgb="FFA89B8C"/>
      </patternFill>
    </fill>
    <fill>
      <patternFill patternType="solid">
        <fgColor rgb="FFFBF8F2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B0A89C"/>
      </left>
      <right style="thin">
        <color rgb="FFB0A89C"/>
      </right>
      <top style="thin">
        <color rgb="FFB0A89C"/>
      </top>
      <bottom style="thin">
        <color rgb="FFB0A89C"/>
      </bottom>
      <diagonal/>
    </border>
    <border>
      <left/>
      <right style="thin">
        <color rgb="FFB0A89C"/>
      </right>
      <top style="thin">
        <color rgb="FFB0A89C"/>
      </top>
      <bottom style="thin">
        <color rgb="FFB0A89C"/>
      </bottom>
      <diagonal/>
    </border>
    <border>
      <left/>
      <right/>
      <top style="thin">
        <color rgb="FFB0A89C"/>
      </top>
      <bottom style="thin">
        <color rgb="FFB0A89C"/>
      </bottom>
      <diagonal/>
    </border>
    <border>
      <left style="thin">
        <color rgb="FFD9D2C7"/>
      </left>
      <right style="thin">
        <color rgb="FFD9D2C7"/>
      </right>
      <top style="thin">
        <color rgb="FFD9D2C7"/>
      </top>
      <bottom style="thin">
        <color rgb="FFD9D2C7"/>
      </bottom>
      <diagonal/>
    </border>
  </borders>
  <cellStyleXfs count="1">
    <xf numFmtId="0" fontId="0" fillId="0" borderId="1"/>
  </cellStyleXfs>
  <cellXfs count="92">
    <xf numFmtId="0" fontId="0" fillId="0" borderId="0" xfId="0" applyBorder="1"/>
    <xf numFmtId="0" fontId="1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 wrapText="1"/>
    </xf>
    <xf numFmtId="164" fontId="4" fillId="3" borderId="2" xfId="0" applyNumberFormat="1" applyFont="1" applyFill="1" applyBorder="1" applyAlignment="1">
      <alignment horizontal="right" vertical="center"/>
    </xf>
    <xf numFmtId="165" fontId="3" fillId="0" borderId="2" xfId="0" applyNumberFormat="1" applyFont="1" applyBorder="1" applyAlignment="1">
      <alignment horizontal="right" vertical="center"/>
    </xf>
    <xf numFmtId="166" fontId="3" fillId="0" borderId="2" xfId="0" applyNumberFormat="1" applyFont="1" applyBorder="1" applyAlignment="1">
      <alignment horizontal="right" vertical="center"/>
    </xf>
    <xf numFmtId="167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68" fontId="3" fillId="0" borderId="2" xfId="0" applyNumberFormat="1" applyFont="1" applyBorder="1" applyAlignment="1">
      <alignment horizontal="right" vertical="center"/>
    </xf>
    <xf numFmtId="0" fontId="6" fillId="4" borderId="2" xfId="0" applyFont="1" applyFill="1" applyBorder="1" applyAlignment="1">
      <alignment horizontal="center" vertical="center" wrapText="1"/>
    </xf>
    <xf numFmtId="167" fontId="7" fillId="0" borderId="2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165" fontId="7" fillId="0" borderId="2" xfId="0" applyNumberFormat="1" applyFont="1" applyBorder="1" applyAlignment="1">
      <alignment horizontal="right" vertical="center"/>
    </xf>
    <xf numFmtId="168" fontId="7" fillId="0" borderId="2" xfId="0" applyNumberFormat="1" applyFont="1" applyBorder="1" applyAlignment="1">
      <alignment horizontal="right" vertical="center"/>
    </xf>
    <xf numFmtId="0" fontId="5" fillId="0" borderId="2" xfId="0" applyFont="1" applyBorder="1" applyAlignment="1">
      <alignment horizontal="left" vertical="center"/>
    </xf>
    <xf numFmtId="164" fontId="7" fillId="0" borderId="2" xfId="0" applyNumberFormat="1" applyFont="1" applyBorder="1" applyAlignment="1">
      <alignment horizontal="right" vertical="center"/>
    </xf>
    <xf numFmtId="164" fontId="4" fillId="2" borderId="2" xfId="0" applyNumberFormat="1" applyFont="1" applyFill="1" applyBorder="1" applyAlignment="1">
      <alignment horizontal="right" vertical="center"/>
    </xf>
    <xf numFmtId="165" fontId="4" fillId="2" borderId="2" xfId="0" applyNumberFormat="1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left" vertical="center"/>
    </xf>
    <xf numFmtId="166" fontId="7" fillId="3" borderId="2" xfId="0" applyNumberFormat="1" applyFont="1" applyFill="1" applyBorder="1" applyAlignment="1">
      <alignment horizontal="right" vertical="center"/>
    </xf>
    <xf numFmtId="169" fontId="7" fillId="3" borderId="2" xfId="0" applyNumberFormat="1" applyFont="1" applyFill="1" applyBorder="1" applyAlignment="1">
      <alignment horizontal="right" vertical="center"/>
    </xf>
    <xf numFmtId="0" fontId="8" fillId="0" borderId="2" xfId="0" applyFont="1" applyBorder="1" applyAlignment="1">
      <alignment horizontal="center" vertical="center"/>
    </xf>
    <xf numFmtId="169" fontId="7" fillId="0" borderId="2" xfId="0" applyNumberFormat="1" applyFont="1" applyBorder="1" applyAlignment="1">
      <alignment horizontal="right" vertical="center"/>
    </xf>
    <xf numFmtId="168" fontId="4" fillId="3" borderId="2" xfId="0" applyNumberFormat="1" applyFont="1" applyFill="1" applyBorder="1" applyAlignment="1">
      <alignment horizontal="right" vertical="center"/>
    </xf>
    <xf numFmtId="168" fontId="4" fillId="2" borderId="2" xfId="0" applyNumberFormat="1" applyFont="1" applyFill="1" applyBorder="1" applyAlignment="1">
      <alignment horizontal="right" vertical="center"/>
    </xf>
    <xf numFmtId="168" fontId="7" fillId="3" borderId="2" xfId="0" applyNumberFormat="1" applyFont="1" applyFill="1" applyBorder="1" applyAlignment="1">
      <alignment horizontal="right" vertical="center"/>
    </xf>
    <xf numFmtId="168" fontId="4" fillId="0" borderId="2" xfId="0" applyNumberFormat="1" applyFont="1" applyBorder="1" applyAlignment="1">
      <alignment horizontal="right" vertical="center"/>
    </xf>
    <xf numFmtId="166" fontId="4" fillId="0" borderId="2" xfId="0" applyNumberFormat="1" applyFont="1" applyBorder="1" applyAlignment="1">
      <alignment horizontal="right" vertical="center"/>
    </xf>
    <xf numFmtId="165" fontId="7" fillId="3" borderId="2" xfId="0" applyNumberFormat="1" applyFont="1" applyFill="1" applyBorder="1" applyAlignment="1">
      <alignment horizontal="right" vertical="center"/>
    </xf>
    <xf numFmtId="0" fontId="4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9" fillId="5" borderId="0" xfId="0" applyFont="1" applyFill="1" applyBorder="1" applyAlignment="1">
      <alignment horizontal="left" vertical="center" indent="1"/>
    </xf>
    <xf numFmtId="0" fontId="10" fillId="0" borderId="0" xfId="0" applyFont="1" applyBorder="1" applyAlignment="1">
      <alignment horizontal="left" vertical="center" wrapText="1" indent="1"/>
    </xf>
    <xf numFmtId="0" fontId="11" fillId="6" borderId="0" xfId="0" applyFont="1" applyFill="1" applyBorder="1" applyAlignment="1">
      <alignment horizontal="left" vertical="center" wrapText="1" indent="1"/>
    </xf>
    <xf numFmtId="0" fontId="17" fillId="0" borderId="0" xfId="0" applyFont="1" applyBorder="1"/>
    <xf numFmtId="0" fontId="12" fillId="6" borderId="0" xfId="0" applyFont="1" applyFill="1" applyBorder="1" applyAlignment="1">
      <alignment horizontal="left" vertical="center" indent="1"/>
    </xf>
    <xf numFmtId="1" fontId="14" fillId="7" borderId="0" xfId="0" applyNumberFormat="1" applyFont="1" applyFill="1" applyBorder="1" applyAlignment="1">
      <alignment horizontal="center" vertical="center"/>
    </xf>
    <xf numFmtId="0" fontId="18" fillId="0" borderId="0" xfId="0" applyFont="1" applyBorder="1" applyAlignment="1">
      <alignment horizontal="center" vertical="center" wrapText="1"/>
    </xf>
    <xf numFmtId="0" fontId="19" fillId="0" borderId="0" xfId="0" applyFont="1" applyBorder="1"/>
    <xf numFmtId="0" fontId="20" fillId="0" borderId="0" xfId="0" applyFont="1" applyBorder="1"/>
    <xf numFmtId="0" fontId="15" fillId="8" borderId="5" xfId="0" applyFont="1" applyFill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170" fontId="10" fillId="0" borderId="5" xfId="0" applyNumberFormat="1" applyFont="1" applyBorder="1" applyAlignment="1">
      <alignment horizontal="left" vertical="center" wrapText="1"/>
    </xf>
    <xf numFmtId="171" fontId="10" fillId="0" borderId="5" xfId="0" applyNumberFormat="1" applyFont="1" applyBorder="1" applyAlignment="1">
      <alignment horizontal="right" vertical="center"/>
    </xf>
    <xf numFmtId="170" fontId="10" fillId="0" borderId="5" xfId="0" applyNumberFormat="1" applyFont="1" applyBorder="1" applyAlignment="1">
      <alignment horizontal="right" vertical="center"/>
    </xf>
    <xf numFmtId="172" fontId="10" fillId="0" borderId="5" xfId="0" applyNumberFormat="1" applyFont="1" applyBorder="1" applyAlignment="1">
      <alignment horizontal="right" vertical="center"/>
    </xf>
    <xf numFmtId="0" fontId="10" fillId="9" borderId="5" xfId="0" applyFont="1" applyFill="1" applyBorder="1" applyAlignment="1">
      <alignment horizontal="center" vertical="center" wrapText="1"/>
    </xf>
    <xf numFmtId="170" fontId="10" fillId="9" borderId="5" xfId="0" applyNumberFormat="1" applyFont="1" applyFill="1" applyBorder="1" applyAlignment="1">
      <alignment horizontal="left" vertical="center" wrapText="1"/>
    </xf>
    <xf numFmtId="171" fontId="10" fillId="9" borderId="5" xfId="0" applyNumberFormat="1" applyFont="1" applyFill="1" applyBorder="1" applyAlignment="1">
      <alignment horizontal="right" vertical="center"/>
    </xf>
    <xf numFmtId="170" fontId="10" fillId="9" borderId="5" xfId="0" applyNumberFormat="1" applyFont="1" applyFill="1" applyBorder="1" applyAlignment="1">
      <alignment horizontal="right" vertical="center"/>
    </xf>
    <xf numFmtId="172" fontId="10" fillId="9" borderId="5" xfId="0" applyNumberFormat="1" applyFont="1" applyFill="1" applyBorder="1" applyAlignment="1">
      <alignment horizontal="right" vertical="center"/>
    </xf>
    <xf numFmtId="0" fontId="22" fillId="0" borderId="5" xfId="0" applyFont="1" applyBorder="1" applyAlignment="1">
      <alignment horizontal="left" vertical="center" indent="1"/>
    </xf>
    <xf numFmtId="0" fontId="22" fillId="9" borderId="5" xfId="0" applyFont="1" applyFill="1" applyBorder="1" applyAlignment="1">
      <alignment horizontal="left" vertical="center" indent="1"/>
    </xf>
    <xf numFmtId="0" fontId="23" fillId="6" borderId="5" xfId="0" applyFont="1" applyFill="1" applyBorder="1" applyAlignment="1">
      <alignment horizontal="left" indent="1"/>
    </xf>
    <xf numFmtId="170" fontId="23" fillId="6" borderId="5" xfId="0" applyNumberFormat="1" applyFont="1" applyFill="1" applyBorder="1" applyAlignment="1">
      <alignment horizontal="right" vertical="center"/>
    </xf>
    <xf numFmtId="171" fontId="23" fillId="6" borderId="5" xfId="0" applyNumberFormat="1" applyFont="1" applyFill="1" applyBorder="1" applyAlignment="1">
      <alignment horizontal="right" vertical="center"/>
    </xf>
    <xf numFmtId="172" fontId="23" fillId="6" borderId="5" xfId="0" applyNumberFormat="1" applyFont="1" applyFill="1" applyBorder="1" applyAlignment="1">
      <alignment horizontal="right" vertical="center"/>
    </xf>
    <xf numFmtId="0" fontId="24" fillId="5" borderId="5" xfId="0" applyFont="1" applyFill="1" applyBorder="1" applyAlignment="1">
      <alignment horizontal="left" indent="1"/>
    </xf>
    <xf numFmtId="170" fontId="24" fillId="5" borderId="5" xfId="0" applyNumberFormat="1" applyFont="1" applyFill="1" applyBorder="1" applyAlignment="1">
      <alignment horizontal="right" vertical="center"/>
    </xf>
    <xf numFmtId="171" fontId="24" fillId="5" borderId="5" xfId="0" applyNumberFormat="1" applyFont="1" applyFill="1" applyBorder="1" applyAlignment="1">
      <alignment horizontal="right" vertical="center"/>
    </xf>
    <xf numFmtId="172" fontId="24" fillId="5" borderId="5" xfId="0" applyNumberFormat="1" applyFont="1" applyFill="1" applyBorder="1" applyAlignment="1">
      <alignment horizontal="right" vertical="center"/>
    </xf>
    <xf numFmtId="0" fontId="12" fillId="0" borderId="0" xfId="0" applyFont="1" applyBorder="1"/>
    <xf numFmtId="0" fontId="10" fillId="0" borderId="0" xfId="0" applyFont="1" applyBorder="1"/>
    <xf numFmtId="175" fontId="10" fillId="0" borderId="5" xfId="0" applyNumberFormat="1" applyFont="1" applyBorder="1" applyAlignment="1">
      <alignment horizontal="center" vertical="center" wrapText="1"/>
    </xf>
    <xf numFmtId="0" fontId="10" fillId="0" borderId="5" xfId="0" applyFont="1" applyBorder="1" applyAlignment="1">
      <alignment horizontal="left" vertical="center" wrapText="1"/>
    </xf>
    <xf numFmtId="173" fontId="10" fillId="0" borderId="5" xfId="0" applyNumberFormat="1" applyFont="1" applyBorder="1" applyAlignment="1">
      <alignment horizontal="right" vertical="center"/>
    </xf>
    <xf numFmtId="175" fontId="10" fillId="9" borderId="5" xfId="0" applyNumberFormat="1" applyFont="1" applyFill="1" applyBorder="1" applyAlignment="1">
      <alignment horizontal="center" vertical="center" wrapText="1"/>
    </xf>
    <xf numFmtId="0" fontId="10" fillId="9" borderId="5" xfId="0" applyFont="1" applyFill="1" applyBorder="1" applyAlignment="1">
      <alignment horizontal="left" vertical="center" wrapText="1"/>
    </xf>
    <xf numFmtId="173" fontId="10" fillId="9" borderId="5" xfId="0" applyNumberFormat="1" applyFont="1" applyFill="1" applyBorder="1" applyAlignment="1">
      <alignment horizontal="right" vertical="center"/>
    </xf>
    <xf numFmtId="171" fontId="10" fillId="0" borderId="5" xfId="0" applyNumberFormat="1" applyFont="1" applyBorder="1" applyAlignment="1">
      <alignment horizontal="left" vertical="center" wrapText="1"/>
    </xf>
    <xf numFmtId="171" fontId="10" fillId="9" borderId="5" xfId="0" applyNumberFormat="1" applyFont="1" applyFill="1" applyBorder="1" applyAlignment="1">
      <alignment horizontal="left" vertical="center" wrapText="1"/>
    </xf>
    <xf numFmtId="0" fontId="10" fillId="0" borderId="5" xfId="0" applyFont="1" applyBorder="1" applyAlignment="1">
      <alignment horizontal="right" vertical="center"/>
    </xf>
    <xf numFmtId="0" fontId="10" fillId="9" borderId="5" xfId="0" applyFont="1" applyFill="1" applyBorder="1" applyAlignment="1">
      <alignment horizontal="right" vertical="center"/>
    </xf>
    <xf numFmtId="0" fontId="12" fillId="6" borderId="0" xfId="0" applyFont="1" applyFill="1" applyBorder="1" applyAlignment="1">
      <alignment horizontal="left" vertical="center" indent="1"/>
    </xf>
    <xf numFmtId="0" fontId="0" fillId="0" borderId="0" xfId="0" applyBorder="1"/>
    <xf numFmtId="0" fontId="13" fillId="5" borderId="0" xfId="0" applyFont="1" applyFill="1" applyBorder="1" applyAlignment="1">
      <alignment horizontal="left" vertical="center" indent="1"/>
    </xf>
    <xf numFmtId="0" fontId="10" fillId="0" borderId="0" xfId="0" applyFont="1" applyBorder="1"/>
    <xf numFmtId="172" fontId="14" fillId="7" borderId="0" xfId="0" applyNumberFormat="1" applyFont="1" applyFill="1" applyBorder="1" applyAlignment="1">
      <alignment horizontal="left" vertical="center" indent="1"/>
    </xf>
    <xf numFmtId="170" fontId="14" fillId="7" borderId="0" xfId="0" applyNumberFormat="1" applyFont="1" applyFill="1" applyBorder="1" applyAlignment="1">
      <alignment horizontal="left" vertical="center" indent="1"/>
    </xf>
    <xf numFmtId="173" fontId="14" fillId="7" borderId="0" xfId="0" applyNumberFormat="1" applyFont="1" applyFill="1" applyBorder="1" applyAlignment="1">
      <alignment horizontal="left" vertical="center" indent="1"/>
    </xf>
    <xf numFmtId="0" fontId="9" fillId="5" borderId="0" xfId="0" applyFont="1" applyFill="1" applyBorder="1" applyAlignment="1">
      <alignment horizontal="left" vertical="center" indent="1"/>
    </xf>
    <xf numFmtId="171" fontId="14" fillId="7" borderId="0" xfId="0" applyNumberFormat="1" applyFont="1" applyFill="1" applyBorder="1" applyAlignment="1">
      <alignment horizontal="left" vertical="center" indent="1"/>
    </xf>
    <xf numFmtId="170" fontId="14" fillId="7" borderId="0" xfId="0" applyNumberFormat="1" applyFont="1" applyFill="1" applyBorder="1" applyAlignment="1">
      <alignment horizontal="left" indent="1"/>
    </xf>
    <xf numFmtId="0" fontId="12" fillId="6" borderId="0" xfId="0" applyFont="1" applyFill="1" applyBorder="1" applyAlignment="1">
      <alignment horizontal="left" indent="1"/>
    </xf>
    <xf numFmtId="0" fontId="21" fillId="5" borderId="0" xfId="0" applyFont="1" applyFill="1" applyBorder="1" applyAlignment="1">
      <alignment horizontal="left" vertical="center" indent="1"/>
    </xf>
    <xf numFmtId="0" fontId="16" fillId="0" borderId="0" xfId="0" applyFont="1" applyBorder="1" applyAlignment="1">
      <alignment horizontal="left" vertical="center" indent="1"/>
    </xf>
    <xf numFmtId="0" fontId="4" fillId="2" borderId="2" xfId="0" applyFont="1" applyFill="1" applyBorder="1" applyAlignment="1">
      <alignment horizontal="left" vertical="center" wrapText="1"/>
    </xf>
    <xf numFmtId="0" fontId="0" fillId="0" borderId="4" xfId="0" applyBorder="1"/>
    <xf numFmtId="0" fontId="0" fillId="0" borderId="3" xfId="0" applyBorder="1"/>
    <xf numFmtId="0" fontId="6" fillId="4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40"/>
  <sheetViews>
    <sheetView showGridLines="0" workbookViewId="0"/>
  </sheetViews>
  <sheetFormatPr defaultRowHeight="14.5" x14ac:dyDescent="0.35"/>
  <cols>
    <col min="1" max="1" width="2" customWidth="1"/>
    <col min="2" max="2" width="100" customWidth="1"/>
  </cols>
  <sheetData>
    <row r="2" spans="2:2" ht="42" customHeight="1" x14ac:dyDescent="0.35">
      <c r="B2" s="33" t="s">
        <v>64</v>
      </c>
    </row>
    <row r="4" spans="2:2" ht="18" customHeight="1" x14ac:dyDescent="0.35">
      <c r="B4" s="34"/>
    </row>
    <row r="5" spans="2:2" ht="18" customHeight="1" x14ac:dyDescent="0.35">
      <c r="B5" s="35" t="s">
        <v>65</v>
      </c>
    </row>
    <row r="6" spans="2:2" ht="18" customHeight="1" x14ac:dyDescent="0.35">
      <c r="B6" s="34" t="s">
        <v>66</v>
      </c>
    </row>
    <row r="7" spans="2:2" ht="18" customHeight="1" x14ac:dyDescent="0.35">
      <c r="B7" s="34" t="s">
        <v>67</v>
      </c>
    </row>
    <row r="8" spans="2:2" ht="18" customHeight="1" x14ac:dyDescent="0.35">
      <c r="B8" s="34" t="s">
        <v>68</v>
      </c>
    </row>
    <row r="9" spans="2:2" ht="18" customHeight="1" x14ac:dyDescent="0.35">
      <c r="B9" s="34" t="s">
        <v>69</v>
      </c>
    </row>
    <row r="10" spans="2:2" ht="18" customHeight="1" x14ac:dyDescent="0.35">
      <c r="B10" s="34" t="s">
        <v>70</v>
      </c>
    </row>
    <row r="11" spans="2:2" ht="18" customHeight="1" x14ac:dyDescent="0.35">
      <c r="B11" s="34"/>
    </row>
    <row r="12" spans="2:2" ht="18" customHeight="1" x14ac:dyDescent="0.35">
      <c r="B12" s="35" t="s">
        <v>71</v>
      </c>
    </row>
    <row r="13" spans="2:2" ht="18" customHeight="1" x14ac:dyDescent="0.35">
      <c r="B13" s="34" t="s">
        <v>72</v>
      </c>
    </row>
    <row r="14" spans="2:2" ht="18" customHeight="1" x14ac:dyDescent="0.35">
      <c r="B14" s="34" t="s">
        <v>73</v>
      </c>
    </row>
    <row r="15" spans="2:2" ht="18" customHeight="1" x14ac:dyDescent="0.35">
      <c r="B15" s="34" t="s">
        <v>74</v>
      </c>
    </row>
    <row r="16" spans="2:2" ht="18" customHeight="1" x14ac:dyDescent="0.35">
      <c r="B16" s="34" t="s">
        <v>75</v>
      </c>
    </row>
    <row r="17" spans="2:2" ht="18" customHeight="1" x14ac:dyDescent="0.35">
      <c r="B17" s="34" t="s">
        <v>76</v>
      </c>
    </row>
    <row r="18" spans="2:2" ht="18" customHeight="1" x14ac:dyDescent="0.35">
      <c r="B18" s="34"/>
    </row>
    <row r="19" spans="2:2" ht="18" customHeight="1" x14ac:dyDescent="0.35">
      <c r="B19" s="34" t="s">
        <v>77</v>
      </c>
    </row>
    <row r="20" spans="2:2" ht="18" customHeight="1" x14ac:dyDescent="0.35">
      <c r="B20" s="34" t="s">
        <v>78</v>
      </c>
    </row>
    <row r="21" spans="2:2" ht="18" customHeight="1" x14ac:dyDescent="0.35">
      <c r="B21" s="34" t="s">
        <v>79</v>
      </c>
    </row>
    <row r="22" spans="2:2" ht="18" customHeight="1" x14ac:dyDescent="0.35">
      <c r="B22" s="34" t="s">
        <v>80</v>
      </c>
    </row>
    <row r="23" spans="2:2" ht="18" customHeight="1" x14ac:dyDescent="0.35">
      <c r="B23" s="34"/>
    </row>
    <row r="24" spans="2:2" ht="18" customHeight="1" x14ac:dyDescent="0.35">
      <c r="B24" s="34" t="s">
        <v>81</v>
      </c>
    </row>
    <row r="25" spans="2:2" ht="18" customHeight="1" x14ac:dyDescent="0.35">
      <c r="B25" s="34" t="s">
        <v>82</v>
      </c>
    </row>
    <row r="26" spans="2:2" ht="18" customHeight="1" x14ac:dyDescent="0.35">
      <c r="B26" s="34" t="s">
        <v>83</v>
      </c>
    </row>
    <row r="27" spans="2:2" ht="18" customHeight="1" x14ac:dyDescent="0.35">
      <c r="B27" s="34" t="s">
        <v>84</v>
      </c>
    </row>
    <row r="28" spans="2:2" ht="18" customHeight="1" x14ac:dyDescent="0.35">
      <c r="B28" s="34" t="s">
        <v>85</v>
      </c>
    </row>
    <row r="29" spans="2:2" ht="18" customHeight="1" x14ac:dyDescent="0.35">
      <c r="B29" s="34" t="s">
        <v>86</v>
      </c>
    </row>
    <row r="30" spans="2:2" ht="18" customHeight="1" x14ac:dyDescent="0.35">
      <c r="B30" s="34" t="s">
        <v>87</v>
      </c>
    </row>
    <row r="31" spans="2:2" ht="18" customHeight="1" x14ac:dyDescent="0.35">
      <c r="B31" s="34"/>
    </row>
    <row r="32" spans="2:2" ht="18" customHeight="1" x14ac:dyDescent="0.35">
      <c r="B32" s="35" t="s">
        <v>88</v>
      </c>
    </row>
    <row r="33" spans="2:2" ht="18" customHeight="1" x14ac:dyDescent="0.35">
      <c r="B33" s="34" t="s">
        <v>89</v>
      </c>
    </row>
    <row r="34" spans="2:2" ht="18" customHeight="1" x14ac:dyDescent="0.35">
      <c r="B34" s="34" t="s">
        <v>90</v>
      </c>
    </row>
    <row r="35" spans="2:2" ht="18" customHeight="1" x14ac:dyDescent="0.35">
      <c r="B35" s="34" t="s">
        <v>91</v>
      </c>
    </row>
    <row r="36" spans="2:2" ht="18" customHeight="1" x14ac:dyDescent="0.35">
      <c r="B36" s="34"/>
    </row>
    <row r="37" spans="2:2" ht="18" customHeight="1" x14ac:dyDescent="0.35">
      <c r="B37" s="35" t="s">
        <v>92</v>
      </c>
    </row>
    <row r="38" spans="2:2" ht="18" customHeight="1" x14ac:dyDescent="0.35">
      <c r="B38" s="34" t="s">
        <v>93</v>
      </c>
    </row>
    <row r="39" spans="2:2" ht="18" customHeight="1" x14ac:dyDescent="0.35">
      <c r="B39" s="34" t="s">
        <v>94</v>
      </c>
    </row>
    <row r="40" spans="2:2" ht="18" customHeight="1" x14ac:dyDescent="0.35">
      <c r="B40" s="34" t="s">
        <v>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Y46"/>
  <sheetViews>
    <sheetView showGridLines="0" tabSelected="1" workbookViewId="0">
      <pane xSplit="1" ySplit="6" topLeftCell="B14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2" customWidth="1"/>
    <col min="2" max="2" width="24" customWidth="1"/>
    <col min="3" max="8" width="16" customWidth="1"/>
    <col min="9" max="10" width="14" customWidth="1"/>
  </cols>
  <sheetData>
    <row r="2" spans="2:25" ht="42" customHeight="1" x14ac:dyDescent="0.35">
      <c r="B2" s="82" t="s">
        <v>96</v>
      </c>
      <c r="C2" s="76"/>
      <c r="D2" s="76"/>
      <c r="E2" s="76"/>
      <c r="F2" s="76"/>
      <c r="G2" s="76"/>
      <c r="H2" s="76"/>
      <c r="I2" s="76"/>
      <c r="J2" s="76"/>
    </row>
    <row r="3" spans="2:25" x14ac:dyDescent="0.35">
      <c r="N3" s="36" t="s">
        <v>97</v>
      </c>
    </row>
    <row r="4" spans="2:25" ht="26" customHeight="1" x14ac:dyDescent="0.35">
      <c r="B4" s="37" t="s">
        <v>98</v>
      </c>
      <c r="C4" s="38">
        <v>2026</v>
      </c>
      <c r="E4" s="87" t="s">
        <v>99</v>
      </c>
      <c r="F4" s="76"/>
      <c r="G4" s="76"/>
      <c r="H4" s="76"/>
      <c r="I4" s="76"/>
      <c r="J4" s="76"/>
      <c r="N4" s="39" t="s">
        <v>100</v>
      </c>
      <c r="O4" s="39" t="s">
        <v>98</v>
      </c>
      <c r="P4" s="39" t="s">
        <v>101</v>
      </c>
      <c r="Q4" s="39" t="s">
        <v>102</v>
      </c>
      <c r="R4" s="39" t="s">
        <v>103</v>
      </c>
      <c r="S4" s="39" t="s">
        <v>25</v>
      </c>
      <c r="T4" s="39" t="s">
        <v>104</v>
      </c>
      <c r="U4" s="39" t="s">
        <v>105</v>
      </c>
      <c r="V4" s="39" t="s">
        <v>106</v>
      </c>
      <c r="W4" s="39" t="s">
        <v>107</v>
      </c>
      <c r="X4" s="39" t="s">
        <v>108</v>
      </c>
      <c r="Y4" s="39" t="s">
        <v>109</v>
      </c>
    </row>
    <row r="5" spans="2:25" x14ac:dyDescent="0.35">
      <c r="N5" s="40" t="s">
        <v>110</v>
      </c>
      <c r="O5" s="40">
        <v>2026</v>
      </c>
      <c r="P5" s="40">
        <f>'Singapore 2026'!B8</f>
        <v>4364.9399999999996</v>
      </c>
      <c r="Q5" s="40">
        <f>'Singapore 2026'!E8</f>
        <v>4364.9399999999996</v>
      </c>
      <c r="R5" s="40">
        <f>'Singapore 2026'!H8</f>
        <v>0</v>
      </c>
      <c r="S5" s="40">
        <f>'Singapore 2026'!J8</f>
        <v>726000</v>
      </c>
      <c r="T5" s="40">
        <f>'Singapore 2026'!B11</f>
        <v>38563.339999999997</v>
      </c>
      <c r="U5" s="40">
        <f>'Singapore 2026'!E11</f>
        <v>34198.399999999994</v>
      </c>
      <c r="V5" s="40">
        <f>'Singapore 2026'!B14</f>
        <v>726000</v>
      </c>
      <c r="W5" s="40">
        <f>'Singapore 2026'!H14</f>
        <v>0</v>
      </c>
      <c r="X5" s="40">
        <f>'Singapore 2026'!B14*'Singapore 2026'!E14</f>
        <v>3211228.9999999995</v>
      </c>
      <c r="Y5" s="40">
        <f>'Singapore 2026'!H14*'Singapore 2026'!J14</f>
        <v>0</v>
      </c>
    </row>
    <row r="6" spans="2:25" ht="26" customHeight="1" x14ac:dyDescent="0.35">
      <c r="B6" s="77" t="str">
        <f>"  TOTALS FOR " &amp; TEXT($C$4,"0")</f>
        <v xml:space="preserve">  TOTALS FOR 2026</v>
      </c>
      <c r="C6" s="76"/>
      <c r="D6" s="76"/>
      <c r="E6" s="76"/>
      <c r="F6" s="76"/>
      <c r="G6" s="76"/>
      <c r="H6" s="76"/>
      <c r="I6" s="76"/>
      <c r="J6" s="76"/>
      <c r="N6" s="40" t="s">
        <v>111</v>
      </c>
      <c r="O6" s="40">
        <v>2026</v>
      </c>
      <c r="P6" s="40">
        <f>'Montreal 2026'!B8</f>
        <v>328.92</v>
      </c>
      <c r="Q6" s="40">
        <f>'Montreal 2026'!E8</f>
        <v>328.92</v>
      </c>
      <c r="R6" s="40">
        <f>'Montreal 2026'!H8</f>
        <v>0</v>
      </c>
      <c r="S6" s="40">
        <f>'Montreal 2026'!J8</f>
        <v>0</v>
      </c>
      <c r="T6" s="40">
        <f>'Montreal 2026'!B11</f>
        <v>1228.92</v>
      </c>
      <c r="U6" s="40">
        <f>'Montreal 2026'!E11</f>
        <v>900</v>
      </c>
      <c r="V6" s="40">
        <f>'Montreal 2026'!B14</f>
        <v>0</v>
      </c>
      <c r="W6" s="40">
        <f>'Montreal 2026'!H14</f>
        <v>0</v>
      </c>
      <c r="X6" s="40">
        <f>'Montreal 2026'!B14*'Montreal 2026'!E14</f>
        <v>0</v>
      </c>
      <c r="Y6" s="40">
        <f>'Montreal 2026'!H14*'Montreal 2026'!J14</f>
        <v>0</v>
      </c>
    </row>
    <row r="7" spans="2:25" x14ac:dyDescent="0.35">
      <c r="B7" s="75" t="s">
        <v>112</v>
      </c>
      <c r="C7" s="76"/>
      <c r="D7" s="75" t="s">
        <v>9</v>
      </c>
      <c r="E7" s="76"/>
      <c r="F7" s="75" t="s">
        <v>10</v>
      </c>
      <c r="G7" s="76"/>
      <c r="H7" s="75" t="s">
        <v>11</v>
      </c>
      <c r="I7" s="76"/>
      <c r="J7" s="76"/>
      <c r="N7" s="40" t="s">
        <v>113</v>
      </c>
      <c r="O7" s="40">
        <v>2026</v>
      </c>
      <c r="P7" s="40">
        <f>'Spain 2026'!B8</f>
        <v>5480.24</v>
      </c>
      <c r="Q7" s="40">
        <f>'Spain 2026'!E8</f>
        <v>3547.34</v>
      </c>
      <c r="R7" s="40">
        <f>'Spain 2026'!H8</f>
        <v>1932.9</v>
      </c>
      <c r="S7" s="40">
        <f>'Spain 2026'!J8</f>
        <v>438000</v>
      </c>
      <c r="T7" s="40">
        <f>'Spain 2026'!B11</f>
        <v>31222.940000000002</v>
      </c>
      <c r="U7" s="40">
        <f>'Spain 2026'!E11</f>
        <v>27675.600000000002</v>
      </c>
      <c r="V7" s="40">
        <f>'Spain 2026'!B14</f>
        <v>438000</v>
      </c>
      <c r="W7" s="40">
        <f>'Spain 2026'!H14</f>
        <v>0</v>
      </c>
      <c r="X7" s="40">
        <f>'Spain 2026'!B14*'Spain 2026'!E14</f>
        <v>2662560</v>
      </c>
      <c r="Y7" s="40">
        <f>'Spain 2026'!H14*'Spain 2026'!J14</f>
        <v>0</v>
      </c>
    </row>
    <row r="8" spans="2:25" ht="28" customHeight="1" x14ac:dyDescent="0.35">
      <c r="B8" s="80">
        <f>SUMIFS(P5:P18,O5:O18,$C$4)</f>
        <v>10174.099999999999</v>
      </c>
      <c r="C8" s="76"/>
      <c r="D8" s="80">
        <f>SUMIFS(Q5:Q18,O5:O18,$C$4)</f>
        <v>8241.2000000000007</v>
      </c>
      <c r="E8" s="76"/>
      <c r="F8" s="80">
        <f>SUMIFS(R5:R18,O5:O18,$C$4)</f>
        <v>1932.9</v>
      </c>
      <c r="G8" s="76"/>
      <c r="H8" s="83">
        <f>SUMIFS(S5:S18,O5:O18,$C$4)</f>
        <v>1164000</v>
      </c>
      <c r="I8" s="76"/>
      <c r="J8" s="76"/>
      <c r="N8" s="40" t="s">
        <v>114</v>
      </c>
      <c r="O8" s="40">
        <v>2027</v>
      </c>
      <c r="P8" s="40">
        <f>'Japan 2027'!B8</f>
        <v>1320</v>
      </c>
      <c r="Q8" s="40">
        <f>'Japan 2027'!E8</f>
        <v>0</v>
      </c>
      <c r="R8" s="40">
        <f>'Japan 2027'!H8</f>
        <v>1320</v>
      </c>
      <c r="S8" s="40">
        <f>'Japan 2027'!J8</f>
        <v>0</v>
      </c>
      <c r="T8" s="40">
        <f>'Japan 2027'!B11</f>
        <v>0</v>
      </c>
      <c r="U8" s="40">
        <f>'Japan 2027'!E11</f>
        <v>0</v>
      </c>
      <c r="V8" s="40">
        <f>'Japan 2027'!B14</f>
        <v>0</v>
      </c>
      <c r="W8" s="40">
        <f>'Japan 2027'!H14</f>
        <v>0</v>
      </c>
      <c r="X8" s="40">
        <f>'Japan 2027'!B14*'Japan 2027'!E14</f>
        <v>0</v>
      </c>
      <c r="Y8" s="40">
        <f>'Japan 2027'!H14*'Japan 2027'!J14</f>
        <v>0</v>
      </c>
    </row>
    <row r="9" spans="2:25" x14ac:dyDescent="0.35">
      <c r="N9" s="41" t="s">
        <v>115</v>
      </c>
      <c r="O9" s="41" t="s">
        <v>116</v>
      </c>
      <c r="P9" s="41"/>
      <c r="Q9" s="41"/>
      <c r="R9" s="41"/>
      <c r="S9" s="41"/>
      <c r="T9" s="41"/>
      <c r="U9" s="41"/>
      <c r="V9" s="41"/>
      <c r="W9" s="41"/>
      <c r="X9" s="41"/>
      <c r="Y9" s="41"/>
    </row>
    <row r="10" spans="2:25" x14ac:dyDescent="0.35">
      <c r="B10" s="75" t="s">
        <v>12</v>
      </c>
      <c r="C10" s="76"/>
      <c r="D10" s="75" t="s">
        <v>13</v>
      </c>
      <c r="E10" s="76"/>
      <c r="F10" s="75" t="s">
        <v>14</v>
      </c>
      <c r="G10" s="76"/>
      <c r="H10" s="75" t="s">
        <v>15</v>
      </c>
      <c r="I10" s="76"/>
      <c r="J10" s="76"/>
      <c r="N10" s="41" t="s">
        <v>115</v>
      </c>
      <c r="O10" s="41" t="s">
        <v>116</v>
      </c>
      <c r="P10" s="41"/>
      <c r="Q10" s="41"/>
      <c r="R10" s="41"/>
      <c r="S10" s="41"/>
      <c r="T10" s="41"/>
      <c r="U10" s="41"/>
      <c r="V10" s="41"/>
      <c r="W10" s="41"/>
      <c r="X10" s="41"/>
      <c r="Y10" s="41"/>
    </row>
    <row r="11" spans="2:25" ht="28" customHeight="1" x14ac:dyDescent="0.35">
      <c r="B11" s="80">
        <f>SUMIFS(T5:T18,O5:O18,$C$4)</f>
        <v>71015.199999999997</v>
      </c>
      <c r="C11" s="76"/>
      <c r="D11" s="80">
        <f>SUMIFS(U5:U18,O5:O18,$C$4)</f>
        <v>62774</v>
      </c>
      <c r="E11" s="76"/>
      <c r="F11" s="79">
        <f>IFERROR(SUMIFS(U5:U18,O5:O18,$C$4)/SUMIFS(S5:S18,O5:O18,$C$4)*100,0)</f>
        <v>5.3929553264604806</v>
      </c>
      <c r="G11" s="76"/>
      <c r="H11" s="81">
        <f>IFERROR(SUMIFS(U5:U18,O5:O18,$C$4)/SUMIFS(T5:T18,O5:O18,$C$4),0)</f>
        <v>0.8839516047268754</v>
      </c>
      <c r="I11" s="76"/>
      <c r="J11" s="76"/>
      <c r="N11" s="41" t="s">
        <v>115</v>
      </c>
      <c r="O11" s="41" t="s">
        <v>116</v>
      </c>
      <c r="P11" s="41"/>
      <c r="Q11" s="41"/>
      <c r="R11" s="41"/>
      <c r="S11" s="41"/>
      <c r="T11" s="41"/>
      <c r="U11" s="41"/>
      <c r="V11" s="41"/>
      <c r="W11" s="41"/>
      <c r="X11" s="41"/>
      <c r="Y11" s="41"/>
    </row>
    <row r="12" spans="2:25" x14ac:dyDescent="0.35">
      <c r="N12" s="41" t="s">
        <v>115</v>
      </c>
      <c r="O12" s="41" t="s">
        <v>116</v>
      </c>
      <c r="P12" s="41"/>
      <c r="Q12" s="41"/>
      <c r="R12" s="41"/>
      <c r="S12" s="41"/>
      <c r="T12" s="41"/>
      <c r="U12" s="41"/>
      <c r="V12" s="41"/>
      <c r="W12" s="41"/>
      <c r="X12" s="41"/>
      <c r="Y12" s="41"/>
    </row>
    <row r="13" spans="2:25" x14ac:dyDescent="0.35">
      <c r="B13" s="75" t="s">
        <v>16</v>
      </c>
      <c r="C13" s="76"/>
      <c r="D13" s="75" t="s">
        <v>17</v>
      </c>
      <c r="E13" s="76"/>
      <c r="F13" s="75" t="s">
        <v>18</v>
      </c>
      <c r="G13" s="76"/>
      <c r="H13" s="75" t="s">
        <v>19</v>
      </c>
      <c r="I13" s="76"/>
      <c r="J13" s="76"/>
      <c r="N13" s="41" t="s">
        <v>115</v>
      </c>
      <c r="O13" s="41" t="s">
        <v>116</v>
      </c>
      <c r="P13" s="41"/>
      <c r="Q13" s="41"/>
      <c r="R13" s="41"/>
      <c r="S13" s="41"/>
      <c r="T13" s="41"/>
      <c r="U13" s="41"/>
      <c r="V13" s="41"/>
      <c r="W13" s="41"/>
      <c r="X13" s="41"/>
      <c r="Y13" s="41"/>
    </row>
    <row r="14" spans="2:25" ht="28" customHeight="1" x14ac:dyDescent="0.35">
      <c r="B14" s="83">
        <f>SUMIFS(V5:V18,O5:O18,$C$4)</f>
        <v>1164000</v>
      </c>
      <c r="C14" s="76"/>
      <c r="D14" s="79">
        <f>IFERROR(SUMIFS(X5:X18,O5:O18,$C$4)/SUMIFS(V5:V18,O5:O18,$C$4),0)</f>
        <v>5.0462104810996564</v>
      </c>
      <c r="E14" s="76"/>
      <c r="F14" s="83">
        <f>SUMIFS(W5:W18,O5:O18,$C$4)</f>
        <v>0</v>
      </c>
      <c r="G14" s="76"/>
      <c r="H14" s="79">
        <f>IFERROR(SUMIFS(Y5:Y18,O5:O18,$C$4)/SUMIFS(W5:W18,O5:O18,$C$4),0)</f>
        <v>0</v>
      </c>
      <c r="I14" s="76"/>
      <c r="J14" s="76"/>
      <c r="N14" s="41" t="s">
        <v>115</v>
      </c>
      <c r="O14" s="41" t="s">
        <v>116</v>
      </c>
      <c r="P14" s="41"/>
      <c r="Q14" s="41"/>
      <c r="R14" s="41"/>
      <c r="S14" s="41"/>
      <c r="T14" s="41"/>
      <c r="U14" s="41"/>
      <c r="V14" s="41"/>
      <c r="W14" s="41"/>
      <c r="X14" s="41"/>
      <c r="Y14" s="41"/>
    </row>
    <row r="15" spans="2:25" x14ac:dyDescent="0.35">
      <c r="N15" s="41" t="s">
        <v>115</v>
      </c>
      <c r="O15" s="41" t="s">
        <v>116</v>
      </c>
      <c r="P15" s="41"/>
      <c r="Q15" s="41"/>
      <c r="R15" s="41"/>
      <c r="S15" s="41"/>
      <c r="T15" s="41"/>
      <c r="U15" s="41"/>
      <c r="V15" s="41"/>
      <c r="W15" s="41"/>
      <c r="X15" s="41"/>
      <c r="Y15" s="41"/>
    </row>
    <row r="16" spans="2:25" x14ac:dyDescent="0.35">
      <c r="N16" s="41" t="s">
        <v>115</v>
      </c>
      <c r="O16" s="41" t="s">
        <v>116</v>
      </c>
      <c r="P16" s="41"/>
      <c r="Q16" s="41"/>
      <c r="R16" s="41"/>
      <c r="S16" s="41"/>
      <c r="T16" s="41"/>
      <c r="U16" s="41"/>
      <c r="V16" s="41"/>
      <c r="W16" s="41"/>
      <c r="X16" s="41"/>
      <c r="Y16" s="41"/>
    </row>
    <row r="17" spans="2:25" ht="26" customHeight="1" x14ac:dyDescent="0.35">
      <c r="B17" s="77" t="s">
        <v>117</v>
      </c>
      <c r="C17" s="76"/>
      <c r="D17" s="76"/>
      <c r="E17" s="76"/>
      <c r="F17" s="76"/>
      <c r="G17" s="76"/>
      <c r="H17" s="76"/>
      <c r="I17" s="76"/>
      <c r="J17" s="76"/>
      <c r="N17" s="41" t="s">
        <v>115</v>
      </c>
      <c r="O17" s="41" t="s">
        <v>116</v>
      </c>
      <c r="P17" s="41"/>
      <c r="Q17" s="41"/>
      <c r="R17" s="41"/>
      <c r="S17" s="41"/>
      <c r="T17" s="41"/>
      <c r="U17" s="41"/>
      <c r="V17" s="41"/>
      <c r="W17" s="41"/>
      <c r="X17" s="41"/>
      <c r="Y17" s="41"/>
    </row>
    <row r="18" spans="2:25" ht="32" customHeight="1" x14ac:dyDescent="0.35">
      <c r="B18" s="42" t="s">
        <v>100</v>
      </c>
      <c r="C18" s="42" t="s">
        <v>118</v>
      </c>
      <c r="D18" s="42" t="s">
        <v>119</v>
      </c>
      <c r="E18" s="42" t="s">
        <v>27</v>
      </c>
      <c r="F18" s="42" t="s">
        <v>11</v>
      </c>
      <c r="G18" s="42" t="s">
        <v>29</v>
      </c>
      <c r="H18" s="42" t="s">
        <v>120</v>
      </c>
      <c r="I18" s="42" t="s">
        <v>121</v>
      </c>
      <c r="J18" s="42" t="s">
        <v>122</v>
      </c>
      <c r="N18" s="41" t="s">
        <v>115</v>
      </c>
      <c r="O18" s="41" t="s">
        <v>116</v>
      </c>
      <c r="P18" s="41"/>
      <c r="Q18" s="41"/>
      <c r="R18" s="41"/>
      <c r="S18" s="41"/>
      <c r="T18" s="41"/>
      <c r="U18" s="41"/>
      <c r="V18" s="41"/>
      <c r="W18" s="41"/>
      <c r="X18" s="41"/>
      <c r="Y18" s="41"/>
    </row>
    <row r="19" spans="2:25" ht="22" customHeight="1" x14ac:dyDescent="0.35">
      <c r="B19" s="86" t="s">
        <v>123</v>
      </c>
      <c r="C19" s="76"/>
      <c r="D19" s="76"/>
      <c r="E19" s="76"/>
      <c r="F19" s="76"/>
      <c r="G19" s="76"/>
      <c r="H19" s="76"/>
      <c r="I19" s="76"/>
      <c r="J19" s="76"/>
    </row>
    <row r="20" spans="2:25" x14ac:dyDescent="0.35">
      <c r="B20" s="43" t="s">
        <v>110</v>
      </c>
      <c r="C20" s="44">
        <f>'Singapore 2026'!B8</f>
        <v>4364.9399999999996</v>
      </c>
      <c r="D20" s="44">
        <f>'Singapore 2026'!H8</f>
        <v>0</v>
      </c>
      <c r="E20" s="44">
        <f>'Singapore 2026'!B11</f>
        <v>38563.339999999997</v>
      </c>
      <c r="F20" s="45">
        <f>'Singapore 2026'!J8</f>
        <v>726000</v>
      </c>
      <c r="G20" s="46">
        <f>'Singapore 2026'!E11</f>
        <v>34198.399999999994</v>
      </c>
      <c r="H20" s="47">
        <f>'Singapore 2026'!H11</f>
        <v>4.7105234159779608</v>
      </c>
      <c r="I20" s="47">
        <f>'Singapore 2026'!E14</f>
        <v>4.4231804407713495</v>
      </c>
      <c r="J20" s="47">
        <f>'Singapore 2026'!J14</f>
        <v>0</v>
      </c>
    </row>
    <row r="21" spans="2:25" x14ac:dyDescent="0.35">
      <c r="B21" s="48" t="s">
        <v>111</v>
      </c>
      <c r="C21" s="49">
        <f>'Montreal 2026'!B8</f>
        <v>328.92</v>
      </c>
      <c r="D21" s="49">
        <f>'Montreal 2026'!H8</f>
        <v>0</v>
      </c>
      <c r="E21" s="49">
        <f>'Montreal 2026'!B11</f>
        <v>1228.92</v>
      </c>
      <c r="F21" s="50">
        <f>'Montreal 2026'!J8</f>
        <v>0</v>
      </c>
      <c r="G21" s="51">
        <f>'Montreal 2026'!E11</f>
        <v>900</v>
      </c>
      <c r="H21" s="52">
        <f>'Montreal 2026'!H11</f>
        <v>0</v>
      </c>
      <c r="I21" s="52">
        <f>'Montreal 2026'!E14</f>
        <v>0</v>
      </c>
      <c r="J21" s="52">
        <f>'Montreal 2026'!J14</f>
        <v>0</v>
      </c>
    </row>
    <row r="22" spans="2:25" x14ac:dyDescent="0.35">
      <c r="B22" s="43" t="s">
        <v>113</v>
      </c>
      <c r="C22" s="44">
        <f>'Spain 2026'!B8</f>
        <v>5480.24</v>
      </c>
      <c r="D22" s="44">
        <f>'Spain 2026'!H8</f>
        <v>1932.9</v>
      </c>
      <c r="E22" s="44">
        <f>'Spain 2026'!B11</f>
        <v>31222.940000000002</v>
      </c>
      <c r="F22" s="45">
        <f>'Spain 2026'!J8</f>
        <v>438000</v>
      </c>
      <c r="G22" s="46">
        <f>'Spain 2026'!E11</f>
        <v>27675.600000000002</v>
      </c>
      <c r="H22" s="47">
        <f>'Spain 2026'!H11</f>
        <v>6.3186301369863012</v>
      </c>
      <c r="I22" s="47">
        <f>'Spain 2026'!E14</f>
        <v>6.0789041095890415</v>
      </c>
      <c r="J22" s="47">
        <f>'Spain 2026'!J14</f>
        <v>0</v>
      </c>
    </row>
    <row r="23" spans="2:25" x14ac:dyDescent="0.35">
      <c r="B23" s="53" t="s">
        <v>124</v>
      </c>
      <c r="C23" s="46"/>
      <c r="D23" s="46"/>
      <c r="E23" s="46"/>
      <c r="F23" s="45"/>
      <c r="G23" s="46"/>
      <c r="H23" s="47"/>
      <c r="I23" s="47"/>
      <c r="J23" s="47"/>
    </row>
    <row r="24" spans="2:25" x14ac:dyDescent="0.35">
      <c r="B24" s="54" t="s">
        <v>124</v>
      </c>
      <c r="C24" s="51"/>
      <c r="D24" s="51"/>
      <c r="E24" s="51"/>
      <c r="F24" s="50"/>
      <c r="G24" s="51"/>
      <c r="H24" s="52"/>
      <c r="I24" s="52"/>
      <c r="J24" s="52"/>
    </row>
    <row r="25" spans="2:25" x14ac:dyDescent="0.35">
      <c r="B25" s="53" t="s">
        <v>124</v>
      </c>
      <c r="C25" s="46"/>
      <c r="D25" s="46"/>
      <c r="E25" s="46"/>
      <c r="F25" s="45"/>
      <c r="G25" s="46"/>
      <c r="H25" s="47"/>
      <c r="I25" s="47"/>
      <c r="J25" s="47"/>
    </row>
    <row r="26" spans="2:25" x14ac:dyDescent="0.35">
      <c r="B26" s="54" t="s">
        <v>124</v>
      </c>
      <c r="C26" s="51"/>
      <c r="D26" s="51"/>
      <c r="E26" s="51"/>
      <c r="F26" s="50"/>
      <c r="G26" s="51"/>
      <c r="H26" s="52"/>
      <c r="I26" s="52"/>
      <c r="J26" s="52"/>
    </row>
    <row r="27" spans="2:25" x14ac:dyDescent="0.35">
      <c r="B27" s="53" t="s">
        <v>124</v>
      </c>
      <c r="C27" s="46"/>
      <c r="D27" s="46"/>
      <c r="E27" s="46"/>
      <c r="F27" s="45"/>
      <c r="G27" s="46"/>
      <c r="H27" s="47"/>
      <c r="I27" s="47"/>
      <c r="J27" s="47"/>
    </row>
    <row r="28" spans="2:25" x14ac:dyDescent="0.35">
      <c r="B28" s="55" t="s">
        <v>125</v>
      </c>
      <c r="C28" s="56">
        <f>SUM(C20:C27)</f>
        <v>10174.099999999999</v>
      </c>
      <c r="D28" s="56">
        <f>SUM(D20:D27)</f>
        <v>1932.9</v>
      </c>
      <c r="E28" s="56">
        <f>SUM(E20:E27)</f>
        <v>71015.199999999997</v>
      </c>
      <c r="F28" s="57">
        <f>SUM(F20:F27)</f>
        <v>1164000</v>
      </c>
      <c r="G28" s="56">
        <f>SUM(G20:G27)</f>
        <v>62774</v>
      </c>
      <c r="H28" s="58">
        <f>IFERROR(SUM(G20:G27)/SUM(F20:F27)*100,0)</f>
        <v>5.3929553264604806</v>
      </c>
      <c r="I28" s="58">
        <f>IFERROR(('Singapore 2026'!B14*'Singapore 2026'!E14+'Montreal 2026'!B14*'Montreal 2026'!E14+'Spain 2026'!B14*'Spain 2026'!E14)/('Singapore 2026'!B14+'Montreal 2026'!B14+'Spain 2026'!B14),0)</f>
        <v>5.0462104810996564</v>
      </c>
      <c r="J28" s="58">
        <f>IFERROR(('Singapore 2026'!H14*'Singapore 2026'!J14+'Montreal 2026'!H14*'Montreal 2026'!J14+'Spain 2026'!H14*'Spain 2026'!J14)/('Singapore 2026'!H14+'Montreal 2026'!H14+'Spain 2026'!H14),0)</f>
        <v>0</v>
      </c>
    </row>
    <row r="30" spans="2:25" ht="22" customHeight="1" x14ac:dyDescent="0.35">
      <c r="B30" s="86" t="s">
        <v>126</v>
      </c>
      <c r="C30" s="76"/>
      <c r="D30" s="76"/>
      <c r="E30" s="76"/>
      <c r="F30" s="76"/>
      <c r="G30" s="76"/>
      <c r="H30" s="76"/>
      <c r="I30" s="76"/>
      <c r="J30" s="76"/>
    </row>
    <row r="31" spans="2:25" x14ac:dyDescent="0.35">
      <c r="B31" s="43" t="s">
        <v>114</v>
      </c>
      <c r="C31" s="44">
        <f>'Japan 2027'!B8</f>
        <v>1320</v>
      </c>
      <c r="D31" s="44">
        <f>'Japan 2027'!H8</f>
        <v>1320</v>
      </c>
      <c r="E31" s="44">
        <f>'Japan 2027'!B11</f>
        <v>0</v>
      </c>
      <c r="F31" s="45">
        <f>'Japan 2027'!J8</f>
        <v>0</v>
      </c>
      <c r="G31" s="46">
        <f>'Japan 2027'!E11</f>
        <v>0</v>
      </c>
      <c r="H31" s="47">
        <f>'Japan 2027'!H11</f>
        <v>0</v>
      </c>
      <c r="I31" s="47">
        <f>'Japan 2027'!E14</f>
        <v>0</v>
      </c>
      <c r="J31" s="47">
        <f>'Japan 2027'!J14</f>
        <v>0</v>
      </c>
    </row>
    <row r="32" spans="2:25" x14ac:dyDescent="0.35">
      <c r="B32" s="53" t="s">
        <v>124</v>
      </c>
      <c r="C32" s="46"/>
      <c r="D32" s="46"/>
      <c r="E32" s="46"/>
      <c r="F32" s="45"/>
      <c r="G32" s="46"/>
      <c r="H32" s="47"/>
      <c r="I32" s="47"/>
      <c r="J32" s="47"/>
    </row>
    <row r="33" spans="2:10" x14ac:dyDescent="0.35">
      <c r="B33" s="54" t="s">
        <v>124</v>
      </c>
      <c r="C33" s="51"/>
      <c r="D33" s="51"/>
      <c r="E33" s="51"/>
      <c r="F33" s="50"/>
      <c r="G33" s="51"/>
      <c r="H33" s="52"/>
      <c r="I33" s="52"/>
      <c r="J33" s="52"/>
    </row>
    <row r="34" spans="2:10" x14ac:dyDescent="0.35">
      <c r="B34" s="53" t="s">
        <v>124</v>
      </c>
      <c r="C34" s="46"/>
      <c r="D34" s="46"/>
      <c r="E34" s="46"/>
      <c r="F34" s="45"/>
      <c r="G34" s="46"/>
      <c r="H34" s="47"/>
      <c r="I34" s="47"/>
      <c r="J34" s="47"/>
    </row>
    <row r="35" spans="2:10" x14ac:dyDescent="0.35">
      <c r="B35" s="54" t="s">
        <v>124</v>
      </c>
      <c r="C35" s="51"/>
      <c r="D35" s="51"/>
      <c r="E35" s="51"/>
      <c r="F35" s="50"/>
      <c r="G35" s="51"/>
      <c r="H35" s="52"/>
      <c r="I35" s="52"/>
      <c r="J35" s="52"/>
    </row>
    <row r="36" spans="2:10" x14ac:dyDescent="0.35">
      <c r="B36" s="53" t="s">
        <v>124</v>
      </c>
      <c r="C36" s="46"/>
      <c r="D36" s="46"/>
      <c r="E36" s="46"/>
      <c r="F36" s="45"/>
      <c r="G36" s="46"/>
      <c r="H36" s="47"/>
      <c r="I36" s="47"/>
      <c r="J36" s="47"/>
    </row>
    <row r="37" spans="2:10" x14ac:dyDescent="0.35">
      <c r="B37" s="55" t="s">
        <v>127</v>
      </c>
      <c r="C37" s="56">
        <f>SUM(C31:C36)</f>
        <v>1320</v>
      </c>
      <c r="D37" s="56">
        <f>SUM(D31:D36)</f>
        <v>1320</v>
      </c>
      <c r="E37" s="56">
        <f>SUM(E31:E36)</f>
        <v>0</v>
      </c>
      <c r="F37" s="57">
        <f>SUM(F31:F36)</f>
        <v>0</v>
      </c>
      <c r="G37" s="56">
        <f>SUM(G31:G36)</f>
        <v>0</v>
      </c>
      <c r="H37" s="58">
        <f>IFERROR(SUM(G31:G36)/SUM(F31:F36)*100,0)</f>
        <v>0</v>
      </c>
      <c r="I37" s="58">
        <f>IFERROR(('Japan 2027'!B14*'Japan 2027'!E14)/('Japan 2027'!B14),0)</f>
        <v>0</v>
      </c>
      <c r="J37" s="58">
        <f>IFERROR(('Japan 2027'!H14*'Japan 2027'!J14)/('Japan 2027'!H14),0)</f>
        <v>0</v>
      </c>
    </row>
    <row r="39" spans="2:10" x14ac:dyDescent="0.35">
      <c r="B39" s="59" t="s">
        <v>128</v>
      </c>
      <c r="C39" s="60">
        <f>SUM(C28,C37)</f>
        <v>11494.099999999999</v>
      </c>
      <c r="D39" s="60">
        <f>SUM(D28,D37)</f>
        <v>3252.9</v>
      </c>
      <c r="E39" s="60">
        <f>SUM(E28,E37)</f>
        <v>71015.199999999997</v>
      </c>
      <c r="F39" s="61">
        <f>SUM(F28,F37)</f>
        <v>1164000</v>
      </c>
      <c r="G39" s="60">
        <f>SUM(G28,G37)</f>
        <v>62774</v>
      </c>
      <c r="H39" s="62">
        <f>IFERROR(SUM(U5:U18)/SUM(S5:S18)*100,0)</f>
        <v>5.3929553264604806</v>
      </c>
      <c r="I39" s="62">
        <f>IFERROR(SUM(X5:X18)/SUM(V5:V18),0)</f>
        <v>5.0462104810996564</v>
      </c>
      <c r="J39" s="62">
        <f>IFERROR(SUM(Y5:Y18)/SUM(W5:W18),0)</f>
        <v>0</v>
      </c>
    </row>
    <row r="42" spans="2:10" ht="26" customHeight="1" x14ac:dyDescent="0.35">
      <c r="B42" s="77" t="s">
        <v>129</v>
      </c>
      <c r="C42" s="76"/>
      <c r="D42" s="76"/>
      <c r="E42" s="76"/>
      <c r="F42" s="76"/>
      <c r="G42" s="76"/>
      <c r="H42" s="76"/>
      <c r="I42" s="76"/>
      <c r="J42" s="76"/>
    </row>
    <row r="43" spans="2:10" ht="18.5" x14ac:dyDescent="0.45">
      <c r="B43" s="85" t="s">
        <v>130</v>
      </c>
      <c r="C43" s="76"/>
      <c r="D43" s="76"/>
      <c r="E43" s="84" t="e">
        <f>SUM(Cards!K6:K30)</f>
        <v>#VALUE!</v>
      </c>
      <c r="F43" s="76"/>
    </row>
    <row r="44" spans="2:10" ht="18.5" x14ac:dyDescent="0.45">
      <c r="B44" s="85" t="s">
        <v>131</v>
      </c>
      <c r="C44" s="76"/>
      <c r="D44" s="76"/>
      <c r="E44" s="84">
        <f>'3% Fee Tracker'!G61</f>
        <v>20000</v>
      </c>
      <c r="F44" s="76"/>
    </row>
    <row r="45" spans="2:10" ht="18.5" x14ac:dyDescent="0.45">
      <c r="B45" s="85" t="s">
        <v>132</v>
      </c>
      <c r="C45" s="76"/>
      <c r="D45" s="76"/>
      <c r="E45" s="84">
        <f>'3% Fee Tracker'!I61</f>
        <v>455.5</v>
      </c>
      <c r="F45" s="76"/>
    </row>
    <row r="46" spans="2:10" ht="18.5" x14ac:dyDescent="0.45">
      <c r="B46" s="85" t="s">
        <v>133</v>
      </c>
      <c r="C46" s="76"/>
      <c r="D46" s="76"/>
      <c r="E46" s="84">
        <f>'3% Fee Tracker'!L61</f>
        <v>264.5</v>
      </c>
      <c r="F46" s="76"/>
    </row>
  </sheetData>
  <mergeCells count="39">
    <mergeCell ref="E4:J4"/>
    <mergeCell ref="B2:J2"/>
    <mergeCell ref="B45:D45"/>
    <mergeCell ref="H14:J14"/>
    <mergeCell ref="E46:F46"/>
    <mergeCell ref="B10:C10"/>
    <mergeCell ref="H8:J8"/>
    <mergeCell ref="E45:F45"/>
    <mergeCell ref="F13:G13"/>
    <mergeCell ref="D8:E8"/>
    <mergeCell ref="H10:J10"/>
    <mergeCell ref="B46:D46"/>
    <mergeCell ref="D14:E14"/>
    <mergeCell ref="F14:G14"/>
    <mergeCell ref="B43:D43"/>
    <mergeCell ref="B6:J6"/>
    <mergeCell ref="B30:J30"/>
    <mergeCell ref="F8:G8"/>
    <mergeCell ref="B13:C13"/>
    <mergeCell ref="D7:E7"/>
    <mergeCell ref="B44:D44"/>
    <mergeCell ref="H11:J11"/>
    <mergeCell ref="H7:J7"/>
    <mergeCell ref="F7:G7"/>
    <mergeCell ref="E44:F44"/>
    <mergeCell ref="B19:J19"/>
    <mergeCell ref="B11:C11"/>
    <mergeCell ref="D11:E11"/>
    <mergeCell ref="D13:E13"/>
    <mergeCell ref="H13:J13"/>
    <mergeCell ref="B14:C14"/>
    <mergeCell ref="B8:C8"/>
    <mergeCell ref="E43:F43"/>
    <mergeCell ref="F11:G11"/>
    <mergeCell ref="D10:E10"/>
    <mergeCell ref="B7:C7"/>
    <mergeCell ref="F10:G10"/>
    <mergeCell ref="B42:J42"/>
    <mergeCell ref="B17:J17"/>
  </mergeCells>
  <dataValidations count="1">
    <dataValidation type="list" sqref="C4" xr:uid="{00000000-0002-0000-0100-000000000000}">
      <formula1>"2024,2025,2026,2027,2028,2029,2030,2031,2032"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L68"/>
  <sheetViews>
    <sheetView showGridLines="0" workbookViewId="0">
      <pane xSplit="1" ySplit="6" topLeftCell="B45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2" customWidth="1"/>
    <col min="2" max="2" width="13" customWidth="1"/>
    <col min="3" max="4" width="22" customWidth="1"/>
    <col min="5" max="5" width="12" customWidth="1"/>
    <col min="6" max="6" width="11" customWidth="1"/>
    <col min="7" max="8" width="13" customWidth="1"/>
    <col min="9" max="9" width="11" customWidth="1"/>
    <col min="10" max="10" width="12" customWidth="1"/>
    <col min="11" max="11" width="9" customWidth="1"/>
    <col min="12" max="12" width="30" customWidth="1"/>
  </cols>
  <sheetData>
    <row r="2" spans="2:12" ht="42" customHeight="1" x14ac:dyDescent="0.35">
      <c r="B2" s="82" t="s">
        <v>0</v>
      </c>
      <c r="C2" s="76"/>
      <c r="D2" s="76"/>
      <c r="E2" s="76"/>
      <c r="F2" s="76"/>
      <c r="G2" s="76"/>
      <c r="H2" s="76"/>
      <c r="I2" s="76"/>
      <c r="J2" s="76"/>
      <c r="K2" s="76"/>
      <c r="L2" s="76"/>
    </row>
    <row r="4" spans="2:12" ht="22" customHeight="1" x14ac:dyDescent="0.35">
      <c r="B4" s="63" t="s">
        <v>1</v>
      </c>
      <c r="C4" s="64" t="s">
        <v>2</v>
      </c>
      <c r="E4" s="63" t="s">
        <v>3</v>
      </c>
      <c r="F4" s="78" t="s">
        <v>4</v>
      </c>
      <c r="G4" s="76"/>
      <c r="H4" s="76"/>
      <c r="I4" s="63" t="s">
        <v>5</v>
      </c>
      <c r="J4" s="78" t="s">
        <v>6</v>
      </c>
      <c r="K4" s="76"/>
      <c r="L4" s="76"/>
    </row>
    <row r="6" spans="2:12" ht="26" customHeight="1" x14ac:dyDescent="0.35">
      <c r="B6" s="77" t="s">
        <v>7</v>
      </c>
      <c r="C6" s="76"/>
      <c r="D6" s="76"/>
      <c r="E6" s="76"/>
      <c r="F6" s="76"/>
      <c r="G6" s="76"/>
      <c r="H6" s="76"/>
      <c r="I6" s="76"/>
      <c r="J6" s="76"/>
      <c r="K6" s="76"/>
      <c r="L6" s="76"/>
    </row>
    <row r="7" spans="2:12" x14ac:dyDescent="0.35">
      <c r="B7" s="75" t="s">
        <v>8</v>
      </c>
      <c r="C7" s="76"/>
      <c r="E7" s="75" t="s">
        <v>9</v>
      </c>
      <c r="F7" s="76"/>
      <c r="H7" s="75" t="s">
        <v>10</v>
      </c>
      <c r="I7" s="76"/>
      <c r="J7" s="75" t="s">
        <v>11</v>
      </c>
      <c r="K7" s="76"/>
      <c r="L7" s="76"/>
    </row>
    <row r="8" spans="2:12" ht="28" customHeight="1" x14ac:dyDescent="0.35">
      <c r="B8" s="80">
        <f>SUM(G18:G32)+SUM(G36:G50)+SUM(H54:H68)</f>
        <v>4364.9399999999996</v>
      </c>
      <c r="C8" s="76"/>
      <c r="E8" s="80">
        <f>SUM(G18:G32)+SUM(G36:G50)</f>
        <v>4364.9399999999996</v>
      </c>
      <c r="F8" s="76"/>
      <c r="H8" s="80">
        <f>SUM(H54:H68)</f>
        <v>0</v>
      </c>
      <c r="I8" s="76"/>
      <c r="J8" s="83">
        <f>SUM(F18:F32)+SUM(F36:F50)</f>
        <v>726000</v>
      </c>
      <c r="K8" s="76"/>
      <c r="L8" s="76"/>
    </row>
    <row r="10" spans="2:12" x14ac:dyDescent="0.35">
      <c r="B10" s="75" t="s">
        <v>12</v>
      </c>
      <c r="C10" s="76"/>
      <c r="E10" s="75" t="s">
        <v>13</v>
      </c>
      <c r="F10" s="76"/>
      <c r="H10" s="75" t="s">
        <v>14</v>
      </c>
      <c r="I10" s="76"/>
      <c r="J10" s="75" t="s">
        <v>15</v>
      </c>
      <c r="K10" s="76"/>
      <c r="L10" s="76"/>
    </row>
    <row r="11" spans="2:12" ht="28" customHeight="1" x14ac:dyDescent="0.35">
      <c r="B11" s="80">
        <f>SUM(H18:H32)+SUM(H36:H50)</f>
        <v>38563.339999999997</v>
      </c>
      <c r="C11" s="76"/>
      <c r="E11" s="80">
        <f>IFERROR((SUM(H18:H32)+SUM(H36:H50))-(SUM(G18:G32)+SUM(G36:G50)),0)</f>
        <v>34198.399999999994</v>
      </c>
      <c r="F11" s="76"/>
      <c r="H11" s="79">
        <f>IFERROR(E11/J8*100,0)</f>
        <v>4.7105234159779608</v>
      </c>
      <c r="I11" s="76"/>
      <c r="J11" s="81">
        <f>IFERROR(E11/B11,0)</f>
        <v>0.88681115276840639</v>
      </c>
      <c r="K11" s="76"/>
      <c r="L11" s="76"/>
    </row>
    <row r="13" spans="2:12" x14ac:dyDescent="0.35">
      <c r="B13" s="75" t="s">
        <v>16</v>
      </c>
      <c r="C13" s="76"/>
      <c r="E13" s="75" t="s">
        <v>17</v>
      </c>
      <c r="F13" s="76"/>
      <c r="H13" s="75" t="s">
        <v>18</v>
      </c>
      <c r="I13" s="76"/>
      <c r="J13" s="75" t="s">
        <v>19</v>
      </c>
      <c r="K13" s="76"/>
      <c r="L13" s="76"/>
    </row>
    <row r="14" spans="2:12" ht="28" customHeight="1" x14ac:dyDescent="0.35">
      <c r="B14" s="83">
        <f>SUM(F18:F32)</f>
        <v>726000</v>
      </c>
      <c r="C14" s="76"/>
      <c r="E14" s="79">
        <f>IFERROR((SUM(H18:H32)-SUM(G18:G32))/SUM(F18:F32)*100,0)</f>
        <v>4.4231804407713495</v>
      </c>
      <c r="F14" s="76"/>
      <c r="H14" s="83">
        <f>SUM(F36:F50)</f>
        <v>0</v>
      </c>
      <c r="I14" s="76"/>
      <c r="J14" s="79">
        <f>IFERROR((SUM(H36:H50)-SUM(G36:G50))/SUM(F36:F50)*100,0)</f>
        <v>0</v>
      </c>
      <c r="K14" s="76"/>
      <c r="L14" s="76"/>
    </row>
    <row r="16" spans="2:12" ht="26" customHeight="1" x14ac:dyDescent="0.35">
      <c r="B16" s="77" t="s">
        <v>20</v>
      </c>
      <c r="C16" s="76"/>
      <c r="D16" s="76"/>
      <c r="E16" s="76"/>
      <c r="F16" s="76"/>
      <c r="G16" s="76"/>
      <c r="H16" s="76"/>
      <c r="I16" s="76"/>
      <c r="J16" s="76"/>
      <c r="K16" s="76"/>
      <c r="L16" s="76"/>
    </row>
    <row r="17" spans="2:12" ht="32" customHeight="1" x14ac:dyDescent="0.35">
      <c r="B17" s="42" t="s">
        <v>21</v>
      </c>
      <c r="C17" s="42" t="s">
        <v>22</v>
      </c>
      <c r="D17" s="42" t="s">
        <v>23</v>
      </c>
      <c r="E17" s="42" t="s">
        <v>24</v>
      </c>
      <c r="F17" s="42" t="s">
        <v>25</v>
      </c>
      <c r="G17" s="42" t="s">
        <v>26</v>
      </c>
      <c r="H17" s="42" t="s">
        <v>27</v>
      </c>
      <c r="I17" s="42" t="s">
        <v>28</v>
      </c>
      <c r="J17" s="42" t="s">
        <v>29</v>
      </c>
      <c r="K17" s="42" t="s">
        <v>30</v>
      </c>
      <c r="L17" s="42" t="s">
        <v>5</v>
      </c>
    </row>
    <row r="18" spans="2:12" x14ac:dyDescent="0.35">
      <c r="B18" s="65">
        <v>46127</v>
      </c>
      <c r="C18" s="66" t="s">
        <v>31</v>
      </c>
      <c r="D18" s="66" t="s">
        <v>32</v>
      </c>
      <c r="E18" s="66" t="s">
        <v>33</v>
      </c>
      <c r="F18" s="45">
        <v>140000</v>
      </c>
      <c r="G18" s="46">
        <v>589.01</v>
      </c>
      <c r="H18" s="46">
        <v>8390</v>
      </c>
      <c r="I18" s="47">
        <f t="shared" ref="I18:I32" si="0">IF(OR(F18="",F18=0,H18="",H18=0),"",(H18-G18)/F18*100)</f>
        <v>5.5721357142857144</v>
      </c>
      <c r="J18" s="46">
        <f t="shared" ref="J18:J32" si="1">IF(OR(H18="",H18=0),"",MAX(H18-G18,0))</f>
        <v>7800.99</v>
      </c>
      <c r="K18" s="67">
        <f t="shared" ref="K18:K32" si="2">IF(OR(H18="",H18=0),"",MAX((H18-G18)/H18,0))</f>
        <v>0.92979618593563762</v>
      </c>
      <c r="L18" s="66" t="s">
        <v>34</v>
      </c>
    </row>
    <row r="19" spans="2:12" x14ac:dyDescent="0.35">
      <c r="B19" s="68">
        <v>46127</v>
      </c>
      <c r="C19" s="69" t="s">
        <v>35</v>
      </c>
      <c r="D19" s="69" t="s">
        <v>32</v>
      </c>
      <c r="E19" s="69" t="s">
        <v>33</v>
      </c>
      <c r="F19" s="50">
        <v>223000</v>
      </c>
      <c r="G19" s="51">
        <v>11.2</v>
      </c>
      <c r="H19" s="51">
        <v>8390</v>
      </c>
      <c r="I19" s="52">
        <f t="shared" si="0"/>
        <v>3.757309417040358</v>
      </c>
      <c r="J19" s="51">
        <f t="shared" si="1"/>
        <v>8378.7999999999993</v>
      </c>
      <c r="K19" s="70">
        <f t="shared" si="2"/>
        <v>0.99866507747318223</v>
      </c>
      <c r="L19" s="69" t="s">
        <v>36</v>
      </c>
    </row>
    <row r="20" spans="2:12" x14ac:dyDescent="0.35">
      <c r="B20" s="65">
        <v>46146</v>
      </c>
      <c r="C20" s="66" t="s">
        <v>31</v>
      </c>
      <c r="D20" s="66" t="s">
        <v>37</v>
      </c>
      <c r="E20" s="66" t="s">
        <v>33</v>
      </c>
      <c r="F20" s="45">
        <v>140000</v>
      </c>
      <c r="G20" s="46">
        <v>717</v>
      </c>
      <c r="H20" s="46">
        <v>8390</v>
      </c>
      <c r="I20" s="47">
        <f t="shared" si="0"/>
        <v>5.4807142857142859</v>
      </c>
      <c r="J20" s="46">
        <f t="shared" si="1"/>
        <v>7673</v>
      </c>
      <c r="K20" s="67">
        <f t="shared" si="2"/>
        <v>0.91454112038140645</v>
      </c>
      <c r="L20" s="66" t="s">
        <v>38</v>
      </c>
    </row>
    <row r="21" spans="2:12" x14ac:dyDescent="0.35">
      <c r="B21" s="68">
        <v>46146</v>
      </c>
      <c r="C21" s="69" t="s">
        <v>35</v>
      </c>
      <c r="D21" s="69" t="s">
        <v>37</v>
      </c>
      <c r="E21" s="69" t="s">
        <v>33</v>
      </c>
      <c r="F21" s="50">
        <v>223000</v>
      </c>
      <c r="G21" s="51">
        <v>130.5</v>
      </c>
      <c r="H21" s="51">
        <v>8390</v>
      </c>
      <c r="I21" s="52">
        <f t="shared" si="0"/>
        <v>3.7038116591928252</v>
      </c>
      <c r="J21" s="51">
        <f t="shared" si="1"/>
        <v>8259.5</v>
      </c>
      <c r="K21" s="70">
        <f t="shared" si="2"/>
        <v>0.98444576877234802</v>
      </c>
      <c r="L21" s="69" t="s">
        <v>39</v>
      </c>
    </row>
    <row r="22" spans="2:12" x14ac:dyDescent="0.35">
      <c r="B22" s="65">
        <v>46132</v>
      </c>
      <c r="C22" s="66" t="s">
        <v>40</v>
      </c>
      <c r="D22" s="66" t="s">
        <v>41</v>
      </c>
      <c r="E22" s="66" t="s">
        <v>42</v>
      </c>
      <c r="F22" s="45">
        <v>0</v>
      </c>
      <c r="G22" s="46">
        <v>1712.2</v>
      </c>
      <c r="H22" s="46">
        <v>1712.2</v>
      </c>
      <c r="I22" s="47" t="str">
        <f t="shared" si="0"/>
        <v/>
      </c>
      <c r="J22" s="46">
        <f t="shared" si="1"/>
        <v>0</v>
      </c>
      <c r="K22" s="67">
        <f t="shared" si="2"/>
        <v>0</v>
      </c>
      <c r="L22" s="66" t="s">
        <v>43</v>
      </c>
    </row>
    <row r="23" spans="2:12" x14ac:dyDescent="0.35">
      <c r="B23" s="68"/>
      <c r="C23" s="69"/>
      <c r="D23" s="69"/>
      <c r="E23" s="69"/>
      <c r="F23" s="50"/>
      <c r="G23" s="51"/>
      <c r="H23" s="51"/>
      <c r="I23" s="52" t="str">
        <f t="shared" si="0"/>
        <v/>
      </c>
      <c r="J23" s="51" t="str">
        <f t="shared" si="1"/>
        <v/>
      </c>
      <c r="K23" s="70" t="str">
        <f t="shared" si="2"/>
        <v/>
      </c>
      <c r="L23" s="69"/>
    </row>
    <row r="24" spans="2:12" x14ac:dyDescent="0.35">
      <c r="B24" s="65"/>
      <c r="C24" s="66"/>
      <c r="D24" s="66"/>
      <c r="E24" s="66"/>
      <c r="F24" s="45"/>
      <c r="G24" s="46"/>
      <c r="H24" s="46"/>
      <c r="I24" s="47" t="str">
        <f t="shared" si="0"/>
        <v/>
      </c>
      <c r="J24" s="46" t="str">
        <f t="shared" si="1"/>
        <v/>
      </c>
      <c r="K24" s="67" t="str">
        <f t="shared" si="2"/>
        <v/>
      </c>
      <c r="L24" s="66"/>
    </row>
    <row r="25" spans="2:12" x14ac:dyDescent="0.35">
      <c r="B25" s="68"/>
      <c r="C25" s="69"/>
      <c r="D25" s="69"/>
      <c r="E25" s="69"/>
      <c r="F25" s="50"/>
      <c r="G25" s="51"/>
      <c r="H25" s="51"/>
      <c r="I25" s="52" t="str">
        <f t="shared" si="0"/>
        <v/>
      </c>
      <c r="J25" s="51" t="str">
        <f t="shared" si="1"/>
        <v/>
      </c>
      <c r="K25" s="70" t="str">
        <f t="shared" si="2"/>
        <v/>
      </c>
      <c r="L25" s="69"/>
    </row>
    <row r="26" spans="2:12" x14ac:dyDescent="0.35">
      <c r="B26" s="65"/>
      <c r="C26" s="66"/>
      <c r="D26" s="66"/>
      <c r="E26" s="66"/>
      <c r="F26" s="45"/>
      <c r="G26" s="46"/>
      <c r="H26" s="46"/>
      <c r="I26" s="47" t="str">
        <f t="shared" si="0"/>
        <v/>
      </c>
      <c r="J26" s="46" t="str">
        <f t="shared" si="1"/>
        <v/>
      </c>
      <c r="K26" s="67" t="str">
        <f t="shared" si="2"/>
        <v/>
      </c>
      <c r="L26" s="66"/>
    </row>
    <row r="27" spans="2:12" x14ac:dyDescent="0.35">
      <c r="B27" s="68"/>
      <c r="C27" s="69"/>
      <c r="D27" s="69"/>
      <c r="E27" s="69"/>
      <c r="F27" s="50"/>
      <c r="G27" s="51"/>
      <c r="H27" s="51"/>
      <c r="I27" s="52" t="str">
        <f t="shared" si="0"/>
        <v/>
      </c>
      <c r="J27" s="51" t="str">
        <f t="shared" si="1"/>
        <v/>
      </c>
      <c r="K27" s="70" t="str">
        <f t="shared" si="2"/>
        <v/>
      </c>
      <c r="L27" s="69"/>
    </row>
    <row r="28" spans="2:12" x14ac:dyDescent="0.35">
      <c r="B28" s="65"/>
      <c r="C28" s="66"/>
      <c r="D28" s="66"/>
      <c r="E28" s="66"/>
      <c r="F28" s="45"/>
      <c r="G28" s="46"/>
      <c r="H28" s="46"/>
      <c r="I28" s="47" t="str">
        <f t="shared" si="0"/>
        <v/>
      </c>
      <c r="J28" s="46" t="str">
        <f t="shared" si="1"/>
        <v/>
      </c>
      <c r="K28" s="67" t="str">
        <f t="shared" si="2"/>
        <v/>
      </c>
      <c r="L28" s="66"/>
    </row>
    <row r="29" spans="2:12" x14ac:dyDescent="0.35">
      <c r="B29" s="68"/>
      <c r="C29" s="69"/>
      <c r="D29" s="69"/>
      <c r="E29" s="69"/>
      <c r="F29" s="50"/>
      <c r="G29" s="51"/>
      <c r="H29" s="51"/>
      <c r="I29" s="52" t="str">
        <f t="shared" si="0"/>
        <v/>
      </c>
      <c r="J29" s="51" t="str">
        <f t="shared" si="1"/>
        <v/>
      </c>
      <c r="K29" s="70" t="str">
        <f t="shared" si="2"/>
        <v/>
      </c>
      <c r="L29" s="69"/>
    </row>
    <row r="30" spans="2:12" x14ac:dyDescent="0.35">
      <c r="B30" s="65"/>
      <c r="C30" s="66"/>
      <c r="D30" s="66"/>
      <c r="E30" s="66"/>
      <c r="F30" s="45"/>
      <c r="G30" s="46"/>
      <c r="H30" s="46"/>
      <c r="I30" s="47" t="str">
        <f t="shared" si="0"/>
        <v/>
      </c>
      <c r="J30" s="46" t="str">
        <f t="shared" si="1"/>
        <v/>
      </c>
      <c r="K30" s="67" t="str">
        <f t="shared" si="2"/>
        <v/>
      </c>
      <c r="L30" s="66"/>
    </row>
    <row r="31" spans="2:12" x14ac:dyDescent="0.35">
      <c r="B31" s="68"/>
      <c r="C31" s="69"/>
      <c r="D31" s="69"/>
      <c r="E31" s="69"/>
      <c r="F31" s="50"/>
      <c r="G31" s="51"/>
      <c r="H31" s="51"/>
      <c r="I31" s="52" t="str">
        <f t="shared" si="0"/>
        <v/>
      </c>
      <c r="J31" s="51" t="str">
        <f t="shared" si="1"/>
        <v/>
      </c>
      <c r="K31" s="70" t="str">
        <f t="shared" si="2"/>
        <v/>
      </c>
      <c r="L31" s="69"/>
    </row>
    <row r="32" spans="2:12" x14ac:dyDescent="0.35">
      <c r="B32" s="65"/>
      <c r="C32" s="66"/>
      <c r="D32" s="66"/>
      <c r="E32" s="66"/>
      <c r="F32" s="45"/>
      <c r="G32" s="46"/>
      <c r="H32" s="46"/>
      <c r="I32" s="47" t="str">
        <f t="shared" si="0"/>
        <v/>
      </c>
      <c r="J32" s="46" t="str">
        <f t="shared" si="1"/>
        <v/>
      </c>
      <c r="K32" s="67" t="str">
        <f t="shared" si="2"/>
        <v/>
      </c>
      <c r="L32" s="66"/>
    </row>
    <row r="34" spans="2:12" ht="26" customHeight="1" x14ac:dyDescent="0.35">
      <c r="B34" s="77" t="s">
        <v>44</v>
      </c>
      <c r="C34" s="76"/>
      <c r="D34" s="76"/>
      <c r="E34" s="76"/>
      <c r="F34" s="76"/>
      <c r="G34" s="76"/>
      <c r="H34" s="76"/>
      <c r="I34" s="76"/>
      <c r="J34" s="76"/>
      <c r="K34" s="76"/>
      <c r="L34" s="76"/>
    </row>
    <row r="35" spans="2:12" ht="32" customHeight="1" x14ac:dyDescent="0.35">
      <c r="B35" s="42" t="s">
        <v>45</v>
      </c>
      <c r="C35" s="42" t="s">
        <v>46</v>
      </c>
      <c r="D35" s="42" t="s">
        <v>47</v>
      </c>
      <c r="E35" s="42" t="s">
        <v>48</v>
      </c>
      <c r="F35" s="42" t="s">
        <v>25</v>
      </c>
      <c r="G35" s="42" t="s">
        <v>26</v>
      </c>
      <c r="H35" s="42" t="s">
        <v>27</v>
      </c>
      <c r="I35" s="42" t="s">
        <v>28</v>
      </c>
      <c r="J35" s="42" t="s">
        <v>29</v>
      </c>
      <c r="K35" s="42" t="s">
        <v>30</v>
      </c>
      <c r="L35" s="42" t="s">
        <v>5</v>
      </c>
    </row>
    <row r="36" spans="2:12" x14ac:dyDescent="0.35">
      <c r="B36" s="65">
        <v>46127</v>
      </c>
      <c r="C36" s="66" t="s">
        <v>49</v>
      </c>
      <c r="D36" s="66" t="s">
        <v>50</v>
      </c>
      <c r="E36" s="71">
        <v>4</v>
      </c>
      <c r="F36" s="45">
        <v>0</v>
      </c>
      <c r="G36" s="46">
        <v>357.44</v>
      </c>
      <c r="H36" s="46">
        <v>1080.57</v>
      </c>
      <c r="I36" s="47" t="str">
        <f t="shared" ref="I36:I50" si="3">IF(OR(F36="",F36=0,H36="",H36=0),"",(H36-G36)/F36*100)</f>
        <v/>
      </c>
      <c r="J36" s="46">
        <f t="shared" ref="J36:J50" si="4">IF(OR(H36="",H36=0),"",MAX(H36-G36,0))</f>
        <v>723.12999999999988</v>
      </c>
      <c r="K36" s="67">
        <f t="shared" ref="K36:K50" si="5">IF(OR(H36="",H36=0),"",MAX((H36-G36)/H36,0))</f>
        <v>0.66921161979325716</v>
      </c>
      <c r="L36" s="66" t="s">
        <v>51</v>
      </c>
    </row>
    <row r="37" spans="2:12" x14ac:dyDescent="0.35">
      <c r="B37" s="68">
        <v>46131</v>
      </c>
      <c r="C37" s="69" t="s">
        <v>52</v>
      </c>
      <c r="D37" s="69" t="s">
        <v>53</v>
      </c>
      <c r="E37" s="72">
        <v>4</v>
      </c>
      <c r="F37" s="50">
        <v>0</v>
      </c>
      <c r="G37" s="51">
        <v>30</v>
      </c>
      <c r="H37" s="51">
        <v>330</v>
      </c>
      <c r="I37" s="52" t="str">
        <f t="shared" si="3"/>
        <v/>
      </c>
      <c r="J37" s="51">
        <f t="shared" si="4"/>
        <v>300</v>
      </c>
      <c r="K37" s="70">
        <f t="shared" si="5"/>
        <v>0.90909090909090906</v>
      </c>
      <c r="L37" s="69" t="s">
        <v>54</v>
      </c>
    </row>
    <row r="38" spans="2:12" x14ac:dyDescent="0.35">
      <c r="B38" s="65">
        <v>46135</v>
      </c>
      <c r="C38" s="66" t="s">
        <v>55</v>
      </c>
      <c r="D38" s="66" t="s">
        <v>53</v>
      </c>
      <c r="E38" s="71">
        <v>3</v>
      </c>
      <c r="F38" s="45">
        <v>0</v>
      </c>
      <c r="G38" s="46">
        <v>800</v>
      </c>
      <c r="H38" s="46">
        <v>800</v>
      </c>
      <c r="I38" s="47" t="str">
        <f t="shared" si="3"/>
        <v/>
      </c>
      <c r="J38" s="46">
        <f t="shared" si="4"/>
        <v>0</v>
      </c>
      <c r="K38" s="67">
        <f t="shared" si="5"/>
        <v>0</v>
      </c>
      <c r="L38" s="66" t="s">
        <v>56</v>
      </c>
    </row>
    <row r="39" spans="2:12" x14ac:dyDescent="0.35">
      <c r="B39" s="68">
        <v>46145</v>
      </c>
      <c r="C39" s="69" t="s">
        <v>49</v>
      </c>
      <c r="D39" s="69" t="s">
        <v>50</v>
      </c>
      <c r="E39" s="72">
        <v>1</v>
      </c>
      <c r="F39" s="50">
        <v>0</v>
      </c>
      <c r="G39" s="51">
        <v>17.59</v>
      </c>
      <c r="H39" s="51">
        <v>1080.57</v>
      </c>
      <c r="I39" s="52" t="str">
        <f t="shared" si="3"/>
        <v/>
      </c>
      <c r="J39" s="51">
        <f t="shared" si="4"/>
        <v>1062.98</v>
      </c>
      <c r="K39" s="70">
        <f t="shared" si="5"/>
        <v>0.983721554364826</v>
      </c>
      <c r="L39" s="69" t="s">
        <v>51</v>
      </c>
    </row>
    <row r="40" spans="2:12" x14ac:dyDescent="0.35">
      <c r="B40" s="65"/>
      <c r="C40" s="66"/>
      <c r="D40" s="66"/>
      <c r="E40" s="71"/>
      <c r="F40" s="45"/>
      <c r="G40" s="46"/>
      <c r="H40" s="46"/>
      <c r="I40" s="47" t="str">
        <f t="shared" si="3"/>
        <v/>
      </c>
      <c r="J40" s="46" t="str">
        <f t="shared" si="4"/>
        <v/>
      </c>
      <c r="K40" s="67" t="str">
        <f t="shared" si="5"/>
        <v/>
      </c>
      <c r="L40" s="66"/>
    </row>
    <row r="41" spans="2:12" x14ac:dyDescent="0.35">
      <c r="B41" s="68"/>
      <c r="C41" s="69"/>
      <c r="D41" s="69"/>
      <c r="E41" s="72"/>
      <c r="F41" s="50"/>
      <c r="G41" s="51"/>
      <c r="H41" s="51"/>
      <c r="I41" s="52" t="str">
        <f t="shared" si="3"/>
        <v/>
      </c>
      <c r="J41" s="51" t="str">
        <f t="shared" si="4"/>
        <v/>
      </c>
      <c r="K41" s="70" t="str">
        <f t="shared" si="5"/>
        <v/>
      </c>
      <c r="L41" s="69"/>
    </row>
    <row r="42" spans="2:12" x14ac:dyDescent="0.35">
      <c r="B42" s="65"/>
      <c r="C42" s="66"/>
      <c r="D42" s="66"/>
      <c r="E42" s="71"/>
      <c r="F42" s="45"/>
      <c r="G42" s="46"/>
      <c r="H42" s="46"/>
      <c r="I42" s="47" t="str">
        <f t="shared" si="3"/>
        <v/>
      </c>
      <c r="J42" s="46" t="str">
        <f t="shared" si="4"/>
        <v/>
      </c>
      <c r="K42" s="67" t="str">
        <f t="shared" si="5"/>
        <v/>
      </c>
      <c r="L42" s="66"/>
    </row>
    <row r="43" spans="2:12" x14ac:dyDescent="0.35">
      <c r="B43" s="68"/>
      <c r="C43" s="69"/>
      <c r="D43" s="69"/>
      <c r="E43" s="72"/>
      <c r="F43" s="50"/>
      <c r="G43" s="51"/>
      <c r="H43" s="51"/>
      <c r="I43" s="52" t="str">
        <f t="shared" si="3"/>
        <v/>
      </c>
      <c r="J43" s="51" t="str">
        <f t="shared" si="4"/>
        <v/>
      </c>
      <c r="K43" s="70" t="str">
        <f t="shared" si="5"/>
        <v/>
      </c>
      <c r="L43" s="69"/>
    </row>
    <row r="44" spans="2:12" x14ac:dyDescent="0.35">
      <c r="B44" s="65"/>
      <c r="C44" s="66"/>
      <c r="D44" s="66"/>
      <c r="E44" s="71"/>
      <c r="F44" s="45"/>
      <c r="G44" s="46"/>
      <c r="H44" s="46"/>
      <c r="I44" s="47" t="str">
        <f t="shared" si="3"/>
        <v/>
      </c>
      <c r="J44" s="46" t="str">
        <f t="shared" si="4"/>
        <v/>
      </c>
      <c r="K44" s="67" t="str">
        <f t="shared" si="5"/>
        <v/>
      </c>
      <c r="L44" s="66"/>
    </row>
    <row r="45" spans="2:12" x14ac:dyDescent="0.35">
      <c r="B45" s="68"/>
      <c r="C45" s="69"/>
      <c r="D45" s="69"/>
      <c r="E45" s="72"/>
      <c r="F45" s="50"/>
      <c r="G45" s="51"/>
      <c r="H45" s="51"/>
      <c r="I45" s="52" t="str">
        <f t="shared" si="3"/>
        <v/>
      </c>
      <c r="J45" s="51" t="str">
        <f t="shared" si="4"/>
        <v/>
      </c>
      <c r="K45" s="70" t="str">
        <f t="shared" si="5"/>
        <v/>
      </c>
      <c r="L45" s="69"/>
    </row>
    <row r="46" spans="2:12" x14ac:dyDescent="0.35">
      <c r="B46" s="65"/>
      <c r="C46" s="66"/>
      <c r="D46" s="66"/>
      <c r="E46" s="71"/>
      <c r="F46" s="45"/>
      <c r="G46" s="46"/>
      <c r="H46" s="46"/>
      <c r="I46" s="47" t="str">
        <f t="shared" si="3"/>
        <v/>
      </c>
      <c r="J46" s="46" t="str">
        <f t="shared" si="4"/>
        <v/>
      </c>
      <c r="K46" s="67" t="str">
        <f t="shared" si="5"/>
        <v/>
      </c>
      <c r="L46" s="66"/>
    </row>
    <row r="47" spans="2:12" x14ac:dyDescent="0.35">
      <c r="B47" s="68"/>
      <c r="C47" s="69"/>
      <c r="D47" s="69"/>
      <c r="E47" s="72"/>
      <c r="F47" s="50"/>
      <c r="G47" s="51"/>
      <c r="H47" s="51"/>
      <c r="I47" s="52" t="str">
        <f t="shared" si="3"/>
        <v/>
      </c>
      <c r="J47" s="51" t="str">
        <f t="shared" si="4"/>
        <v/>
      </c>
      <c r="K47" s="70" t="str">
        <f t="shared" si="5"/>
        <v/>
      </c>
      <c r="L47" s="69"/>
    </row>
    <row r="48" spans="2:12" x14ac:dyDescent="0.35">
      <c r="B48" s="65"/>
      <c r="C48" s="66"/>
      <c r="D48" s="66"/>
      <c r="E48" s="71"/>
      <c r="F48" s="45"/>
      <c r="G48" s="46"/>
      <c r="H48" s="46"/>
      <c r="I48" s="47" t="str">
        <f t="shared" si="3"/>
        <v/>
      </c>
      <c r="J48" s="46" t="str">
        <f t="shared" si="4"/>
        <v/>
      </c>
      <c r="K48" s="67" t="str">
        <f t="shared" si="5"/>
        <v/>
      </c>
      <c r="L48" s="66"/>
    </row>
    <row r="49" spans="2:12" x14ac:dyDescent="0.35">
      <c r="B49" s="68"/>
      <c r="C49" s="69"/>
      <c r="D49" s="69"/>
      <c r="E49" s="72"/>
      <c r="F49" s="50"/>
      <c r="G49" s="51"/>
      <c r="H49" s="51"/>
      <c r="I49" s="52" t="str">
        <f t="shared" si="3"/>
        <v/>
      </c>
      <c r="J49" s="51" t="str">
        <f t="shared" si="4"/>
        <v/>
      </c>
      <c r="K49" s="70" t="str">
        <f t="shared" si="5"/>
        <v/>
      </c>
      <c r="L49" s="69"/>
    </row>
    <row r="50" spans="2:12" x14ac:dyDescent="0.35">
      <c r="B50" s="65"/>
      <c r="C50" s="66"/>
      <c r="D50" s="66"/>
      <c r="E50" s="71"/>
      <c r="F50" s="45"/>
      <c r="G50" s="46"/>
      <c r="H50" s="46"/>
      <c r="I50" s="47" t="str">
        <f t="shared" si="3"/>
        <v/>
      </c>
      <c r="J50" s="46" t="str">
        <f t="shared" si="4"/>
        <v/>
      </c>
      <c r="K50" s="67" t="str">
        <f t="shared" si="5"/>
        <v/>
      </c>
      <c r="L50" s="66"/>
    </row>
    <row r="52" spans="2:12" ht="26" customHeight="1" x14ac:dyDescent="0.35">
      <c r="B52" s="77" t="s">
        <v>57</v>
      </c>
      <c r="C52" s="76"/>
      <c r="D52" s="76"/>
      <c r="E52" s="76"/>
      <c r="F52" s="76"/>
      <c r="G52" s="76"/>
      <c r="H52" s="76"/>
      <c r="I52" s="76"/>
      <c r="J52" s="76"/>
      <c r="K52" s="76"/>
      <c r="L52" s="76"/>
    </row>
    <row r="53" spans="2:12" ht="32" customHeight="1" x14ac:dyDescent="0.35">
      <c r="B53" s="42" t="s">
        <v>21</v>
      </c>
      <c r="C53" s="42" t="s">
        <v>58</v>
      </c>
      <c r="D53" s="42" t="s">
        <v>59</v>
      </c>
      <c r="E53" s="42" t="s">
        <v>60</v>
      </c>
      <c r="F53" s="42"/>
      <c r="G53" s="42"/>
      <c r="H53" s="42"/>
      <c r="I53" s="42" t="s">
        <v>61</v>
      </c>
      <c r="J53" s="42" t="s">
        <v>62</v>
      </c>
      <c r="K53" s="42" t="s">
        <v>63</v>
      </c>
      <c r="L53" s="42" t="s">
        <v>5</v>
      </c>
    </row>
    <row r="54" spans="2:12" x14ac:dyDescent="0.35">
      <c r="B54" s="65"/>
      <c r="C54" s="66"/>
      <c r="D54" s="66"/>
      <c r="E54" s="71"/>
      <c r="F54" s="73"/>
      <c r="G54" s="73"/>
      <c r="H54" s="73"/>
      <c r="I54" s="46"/>
      <c r="J54" s="73"/>
      <c r="K54" s="73"/>
      <c r="L54" s="66"/>
    </row>
    <row r="55" spans="2:12" x14ac:dyDescent="0.35">
      <c r="B55" s="68"/>
      <c r="C55" s="69"/>
      <c r="D55" s="69"/>
      <c r="E55" s="72"/>
      <c r="F55" s="74"/>
      <c r="G55" s="74"/>
      <c r="H55" s="74"/>
      <c r="I55" s="51"/>
      <c r="J55" s="74"/>
      <c r="K55" s="74"/>
      <c r="L55" s="69"/>
    </row>
    <row r="56" spans="2:12" x14ac:dyDescent="0.35">
      <c r="B56" s="65"/>
      <c r="C56" s="66"/>
      <c r="D56" s="66"/>
      <c r="E56" s="71"/>
      <c r="F56" s="73"/>
      <c r="G56" s="73"/>
      <c r="H56" s="73"/>
      <c r="I56" s="46"/>
      <c r="J56" s="73"/>
      <c r="K56" s="73"/>
      <c r="L56" s="66"/>
    </row>
    <row r="57" spans="2:12" x14ac:dyDescent="0.35">
      <c r="B57" s="68"/>
      <c r="C57" s="69"/>
      <c r="D57" s="69"/>
      <c r="E57" s="72"/>
      <c r="F57" s="74"/>
      <c r="G57" s="74"/>
      <c r="H57" s="74"/>
      <c r="I57" s="51"/>
      <c r="J57" s="74"/>
      <c r="K57" s="74"/>
      <c r="L57" s="69"/>
    </row>
    <row r="58" spans="2:12" x14ac:dyDescent="0.35">
      <c r="B58" s="65"/>
      <c r="C58" s="66"/>
      <c r="D58" s="66"/>
      <c r="E58" s="71"/>
      <c r="F58" s="73"/>
      <c r="G58" s="73"/>
      <c r="H58" s="73"/>
      <c r="I58" s="46"/>
      <c r="J58" s="73"/>
      <c r="K58" s="73"/>
      <c r="L58" s="66"/>
    </row>
    <row r="59" spans="2:12" x14ac:dyDescent="0.35">
      <c r="B59" s="68"/>
      <c r="C59" s="69"/>
      <c r="D59" s="69"/>
      <c r="E59" s="72"/>
      <c r="F59" s="74"/>
      <c r="G59" s="74"/>
      <c r="H59" s="74"/>
      <c r="I59" s="51"/>
      <c r="J59" s="74"/>
      <c r="K59" s="74"/>
      <c r="L59" s="69"/>
    </row>
    <row r="60" spans="2:12" x14ac:dyDescent="0.35">
      <c r="B60" s="65"/>
      <c r="C60" s="66"/>
      <c r="D60" s="66"/>
      <c r="E60" s="71"/>
      <c r="F60" s="73"/>
      <c r="G60" s="73"/>
      <c r="H60" s="73"/>
      <c r="I60" s="46"/>
      <c r="J60" s="73"/>
      <c r="K60" s="73"/>
      <c r="L60" s="66"/>
    </row>
    <row r="61" spans="2:12" x14ac:dyDescent="0.35">
      <c r="B61" s="68"/>
      <c r="C61" s="69"/>
      <c r="D61" s="69"/>
      <c r="E61" s="72"/>
      <c r="F61" s="74"/>
      <c r="G61" s="74"/>
      <c r="H61" s="74"/>
      <c r="I61" s="51"/>
      <c r="J61" s="74"/>
      <c r="K61" s="74"/>
      <c r="L61" s="69"/>
    </row>
    <row r="62" spans="2:12" x14ac:dyDescent="0.35">
      <c r="B62" s="65"/>
      <c r="C62" s="66"/>
      <c r="D62" s="66"/>
      <c r="E62" s="71"/>
      <c r="F62" s="73"/>
      <c r="G62" s="73"/>
      <c r="H62" s="73"/>
      <c r="I62" s="46"/>
      <c r="J62" s="73"/>
      <c r="K62" s="73"/>
      <c r="L62" s="66"/>
    </row>
    <row r="63" spans="2:12" x14ac:dyDescent="0.35">
      <c r="B63" s="68"/>
      <c r="C63" s="69"/>
      <c r="D63" s="69"/>
      <c r="E63" s="72"/>
      <c r="F63" s="74"/>
      <c r="G63" s="74"/>
      <c r="H63" s="74"/>
      <c r="I63" s="51"/>
      <c r="J63" s="74"/>
      <c r="K63" s="74"/>
      <c r="L63" s="69"/>
    </row>
    <row r="64" spans="2:12" x14ac:dyDescent="0.35">
      <c r="B64" s="65"/>
      <c r="C64" s="66"/>
      <c r="D64" s="66"/>
      <c r="E64" s="71"/>
      <c r="F64" s="73"/>
      <c r="G64" s="73"/>
      <c r="H64" s="73"/>
      <c r="I64" s="46"/>
      <c r="J64" s="73"/>
      <c r="K64" s="73"/>
      <c r="L64" s="66"/>
    </row>
    <row r="65" spans="2:12" x14ac:dyDescent="0.35">
      <c r="B65" s="68"/>
      <c r="C65" s="69"/>
      <c r="D65" s="69"/>
      <c r="E65" s="72"/>
      <c r="F65" s="74"/>
      <c r="G65" s="74"/>
      <c r="H65" s="74"/>
      <c r="I65" s="51"/>
      <c r="J65" s="74"/>
      <c r="K65" s="74"/>
      <c r="L65" s="69"/>
    </row>
    <row r="66" spans="2:12" x14ac:dyDescent="0.35">
      <c r="B66" s="65"/>
      <c r="C66" s="66"/>
      <c r="D66" s="66"/>
      <c r="E66" s="71"/>
      <c r="F66" s="73"/>
      <c r="G66" s="73"/>
      <c r="H66" s="73"/>
      <c r="I66" s="46"/>
      <c r="J66" s="73"/>
      <c r="K66" s="73"/>
      <c r="L66" s="66"/>
    </row>
    <row r="67" spans="2:12" x14ac:dyDescent="0.35">
      <c r="B67" s="68"/>
      <c r="C67" s="69"/>
      <c r="D67" s="69"/>
      <c r="E67" s="72"/>
      <c r="F67" s="74"/>
      <c r="G67" s="74"/>
      <c r="H67" s="74"/>
      <c r="I67" s="51"/>
      <c r="J67" s="74"/>
      <c r="K67" s="74"/>
      <c r="L67" s="69"/>
    </row>
    <row r="68" spans="2:12" x14ac:dyDescent="0.35">
      <c r="B68" s="65"/>
      <c r="C68" s="66"/>
      <c r="D68" s="66"/>
      <c r="E68" s="71"/>
      <c r="F68" s="73"/>
      <c r="G68" s="73"/>
      <c r="H68" s="73"/>
      <c r="I68" s="46"/>
      <c r="J68" s="73"/>
      <c r="K68" s="73"/>
      <c r="L68" s="66"/>
    </row>
  </sheetData>
  <mergeCells count="31">
    <mergeCell ref="B52:L52"/>
    <mergeCell ref="B11:C11"/>
    <mergeCell ref="E10:F10"/>
    <mergeCell ref="B2:L2"/>
    <mergeCell ref="B14:C14"/>
    <mergeCell ref="E13:F13"/>
    <mergeCell ref="B8:C8"/>
    <mergeCell ref="B13:C13"/>
    <mergeCell ref="H11:I11"/>
    <mergeCell ref="H7:I7"/>
    <mergeCell ref="B10:C10"/>
    <mergeCell ref="E11:F11"/>
    <mergeCell ref="B34:L34"/>
    <mergeCell ref="F4:H4"/>
    <mergeCell ref="J8:L8"/>
    <mergeCell ref="H13:I13"/>
    <mergeCell ref="B7:C7"/>
    <mergeCell ref="B16:L16"/>
    <mergeCell ref="H10:I10"/>
    <mergeCell ref="J4:L4"/>
    <mergeCell ref="E14:F14"/>
    <mergeCell ref="E8:F8"/>
    <mergeCell ref="J11:L11"/>
    <mergeCell ref="J7:L7"/>
    <mergeCell ref="H14:I14"/>
    <mergeCell ref="J14:L14"/>
    <mergeCell ref="B6:L6"/>
    <mergeCell ref="J10:L10"/>
    <mergeCell ref="E7:F7"/>
    <mergeCell ref="J13:L13"/>
    <mergeCell ref="H8:I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L68"/>
  <sheetViews>
    <sheetView showGridLines="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2" customWidth="1"/>
    <col min="2" max="2" width="13" customWidth="1"/>
    <col min="3" max="4" width="22" customWidth="1"/>
    <col min="5" max="5" width="12" customWidth="1"/>
    <col min="6" max="6" width="11" customWidth="1"/>
    <col min="7" max="8" width="13" customWidth="1"/>
    <col min="9" max="9" width="11" customWidth="1"/>
    <col min="10" max="10" width="12" customWidth="1"/>
    <col min="11" max="11" width="9" customWidth="1"/>
    <col min="12" max="12" width="30" customWidth="1"/>
  </cols>
  <sheetData>
    <row r="2" spans="2:12" ht="42" customHeight="1" x14ac:dyDescent="0.35">
      <c r="B2" s="82" t="s">
        <v>134</v>
      </c>
      <c r="C2" s="76"/>
      <c r="D2" s="76"/>
      <c r="E2" s="76"/>
      <c r="F2" s="76"/>
      <c r="G2" s="76"/>
      <c r="H2" s="76"/>
      <c r="I2" s="76"/>
      <c r="J2" s="76"/>
      <c r="K2" s="76"/>
      <c r="L2" s="76"/>
    </row>
    <row r="4" spans="2:12" ht="22" customHeight="1" x14ac:dyDescent="0.35">
      <c r="B4" s="63" t="s">
        <v>1</v>
      </c>
      <c r="C4" s="64" t="s">
        <v>135</v>
      </c>
      <c r="E4" s="63" t="s">
        <v>3</v>
      </c>
      <c r="F4" s="78" t="s">
        <v>136</v>
      </c>
      <c r="G4" s="76"/>
      <c r="H4" s="76"/>
      <c r="I4" s="63" t="s">
        <v>5</v>
      </c>
      <c r="J4" s="78" t="s">
        <v>137</v>
      </c>
      <c r="K4" s="76"/>
      <c r="L4" s="76"/>
    </row>
    <row r="6" spans="2:12" ht="26" customHeight="1" x14ac:dyDescent="0.35">
      <c r="B6" s="77" t="s">
        <v>7</v>
      </c>
      <c r="C6" s="76"/>
      <c r="D6" s="76"/>
      <c r="E6" s="76"/>
      <c r="F6" s="76"/>
      <c r="G6" s="76"/>
      <c r="H6" s="76"/>
      <c r="I6" s="76"/>
      <c r="J6" s="76"/>
      <c r="K6" s="76"/>
      <c r="L6" s="76"/>
    </row>
    <row r="7" spans="2:12" x14ac:dyDescent="0.35">
      <c r="B7" s="75" t="s">
        <v>8</v>
      </c>
      <c r="C7" s="76"/>
      <c r="E7" s="75" t="s">
        <v>9</v>
      </c>
      <c r="F7" s="76"/>
      <c r="H7" s="75" t="s">
        <v>10</v>
      </c>
      <c r="I7" s="76"/>
      <c r="J7" s="75" t="s">
        <v>11</v>
      </c>
      <c r="K7" s="76"/>
      <c r="L7" s="76"/>
    </row>
    <row r="8" spans="2:12" ht="28" customHeight="1" x14ac:dyDescent="0.35">
      <c r="B8" s="80">
        <f>SUM(G18:G32)+SUM(G36:G50)+SUM(H54:H68)</f>
        <v>328.92</v>
      </c>
      <c r="C8" s="76"/>
      <c r="E8" s="80">
        <f>SUM(G18:G32)+SUM(G36:G50)</f>
        <v>328.92</v>
      </c>
      <c r="F8" s="76"/>
      <c r="H8" s="80">
        <f>SUM(H54:H68)</f>
        <v>0</v>
      </c>
      <c r="I8" s="76"/>
      <c r="J8" s="83">
        <f>SUM(F18:F32)+SUM(F36:F50)</f>
        <v>0</v>
      </c>
      <c r="K8" s="76"/>
      <c r="L8" s="76"/>
    </row>
    <row r="10" spans="2:12" x14ac:dyDescent="0.35">
      <c r="B10" s="75" t="s">
        <v>12</v>
      </c>
      <c r="C10" s="76"/>
      <c r="E10" s="75" t="s">
        <v>13</v>
      </c>
      <c r="F10" s="76"/>
      <c r="H10" s="75" t="s">
        <v>14</v>
      </c>
      <c r="I10" s="76"/>
      <c r="J10" s="75" t="s">
        <v>15</v>
      </c>
      <c r="K10" s="76"/>
      <c r="L10" s="76"/>
    </row>
    <row r="11" spans="2:12" ht="28" customHeight="1" x14ac:dyDescent="0.35">
      <c r="B11" s="80">
        <f>SUM(H18:H32)+SUM(H36:H50)</f>
        <v>1228.92</v>
      </c>
      <c r="C11" s="76"/>
      <c r="E11" s="80">
        <f>IFERROR((SUM(H18:H32)+SUM(H36:H50))-(SUM(G18:G32)+SUM(G36:G50)),0)</f>
        <v>900</v>
      </c>
      <c r="F11" s="76"/>
      <c r="H11" s="79">
        <f>IFERROR(E11/J8*100,0)</f>
        <v>0</v>
      </c>
      <c r="I11" s="76"/>
      <c r="J11" s="81">
        <f>IFERROR(E11/B11,0)</f>
        <v>0.73235035641050672</v>
      </c>
      <c r="K11" s="76"/>
      <c r="L11" s="76"/>
    </row>
    <row r="13" spans="2:12" x14ac:dyDescent="0.35">
      <c r="B13" s="75" t="s">
        <v>16</v>
      </c>
      <c r="C13" s="76"/>
      <c r="E13" s="75" t="s">
        <v>17</v>
      </c>
      <c r="F13" s="76"/>
      <c r="H13" s="75" t="s">
        <v>18</v>
      </c>
      <c r="I13" s="76"/>
      <c r="J13" s="75" t="s">
        <v>19</v>
      </c>
      <c r="K13" s="76"/>
      <c r="L13" s="76"/>
    </row>
    <row r="14" spans="2:12" ht="28" customHeight="1" x14ac:dyDescent="0.35">
      <c r="B14" s="83">
        <f>SUM(F18:F32)</f>
        <v>0</v>
      </c>
      <c r="C14" s="76"/>
      <c r="E14" s="79">
        <f>IFERROR((SUM(H18:H32)-SUM(G18:G32))/SUM(F18:F32)*100,0)</f>
        <v>0</v>
      </c>
      <c r="F14" s="76"/>
      <c r="H14" s="83">
        <f>SUM(F36:F50)</f>
        <v>0</v>
      </c>
      <c r="I14" s="76"/>
      <c r="J14" s="79">
        <f>IFERROR((SUM(H36:H50)-SUM(G36:G50))/SUM(F36:F50)*100,0)</f>
        <v>0</v>
      </c>
      <c r="K14" s="76"/>
      <c r="L14" s="76"/>
    </row>
    <row r="16" spans="2:12" ht="26" customHeight="1" x14ac:dyDescent="0.35">
      <c r="B16" s="77" t="s">
        <v>20</v>
      </c>
      <c r="C16" s="76"/>
      <c r="D16" s="76"/>
      <c r="E16" s="76"/>
      <c r="F16" s="76"/>
      <c r="G16" s="76"/>
      <c r="H16" s="76"/>
      <c r="I16" s="76"/>
      <c r="J16" s="76"/>
      <c r="K16" s="76"/>
      <c r="L16" s="76"/>
    </row>
    <row r="17" spans="2:12" ht="32" customHeight="1" x14ac:dyDescent="0.35">
      <c r="B17" s="42" t="s">
        <v>21</v>
      </c>
      <c r="C17" s="42" t="s">
        <v>22</v>
      </c>
      <c r="D17" s="42" t="s">
        <v>23</v>
      </c>
      <c r="E17" s="42" t="s">
        <v>24</v>
      </c>
      <c r="F17" s="42" t="s">
        <v>25</v>
      </c>
      <c r="G17" s="42" t="s">
        <v>26</v>
      </c>
      <c r="H17" s="42" t="s">
        <v>27</v>
      </c>
      <c r="I17" s="42" t="s">
        <v>28</v>
      </c>
      <c r="J17" s="42" t="s">
        <v>29</v>
      </c>
      <c r="K17" s="42" t="s">
        <v>30</v>
      </c>
      <c r="L17" s="42" t="s">
        <v>5</v>
      </c>
    </row>
    <row r="18" spans="2:12" x14ac:dyDescent="0.35">
      <c r="B18" s="65"/>
      <c r="C18" s="66"/>
      <c r="D18" s="66"/>
      <c r="E18" s="66"/>
      <c r="F18" s="45"/>
      <c r="G18" s="46"/>
      <c r="H18" s="46"/>
      <c r="I18" s="47" t="str">
        <f t="shared" ref="I18:I32" si="0">IF(OR(F18="",F18=0,H18="",H18=0),"",(H18-G18)/F18*100)</f>
        <v/>
      </c>
      <c r="J18" s="46" t="str">
        <f t="shared" ref="J18:J32" si="1">IF(OR(H18="",H18=0),"",MAX(H18-G18,0))</f>
        <v/>
      </c>
      <c r="K18" s="67" t="str">
        <f t="shared" ref="K18:K32" si="2">IF(OR(H18="",H18=0),"",MAX((H18-G18)/H18,0))</f>
        <v/>
      </c>
      <c r="L18" s="66"/>
    </row>
    <row r="19" spans="2:12" x14ac:dyDescent="0.35">
      <c r="B19" s="68"/>
      <c r="C19" s="69"/>
      <c r="D19" s="69"/>
      <c r="E19" s="69"/>
      <c r="F19" s="50"/>
      <c r="G19" s="51"/>
      <c r="H19" s="51"/>
      <c r="I19" s="52" t="str">
        <f t="shared" si="0"/>
        <v/>
      </c>
      <c r="J19" s="51" t="str">
        <f t="shared" si="1"/>
        <v/>
      </c>
      <c r="K19" s="70" t="str">
        <f t="shared" si="2"/>
        <v/>
      </c>
      <c r="L19" s="69"/>
    </row>
    <row r="20" spans="2:12" x14ac:dyDescent="0.35">
      <c r="B20" s="65"/>
      <c r="C20" s="66"/>
      <c r="D20" s="66"/>
      <c r="E20" s="66"/>
      <c r="F20" s="45"/>
      <c r="G20" s="46"/>
      <c r="H20" s="46"/>
      <c r="I20" s="47" t="str">
        <f t="shared" si="0"/>
        <v/>
      </c>
      <c r="J20" s="46" t="str">
        <f t="shared" si="1"/>
        <v/>
      </c>
      <c r="K20" s="67" t="str">
        <f t="shared" si="2"/>
        <v/>
      </c>
      <c r="L20" s="66"/>
    </row>
    <row r="21" spans="2:12" x14ac:dyDescent="0.35">
      <c r="B21" s="68"/>
      <c r="C21" s="69"/>
      <c r="D21" s="69"/>
      <c r="E21" s="69"/>
      <c r="F21" s="50"/>
      <c r="G21" s="51"/>
      <c r="H21" s="51"/>
      <c r="I21" s="52" t="str">
        <f t="shared" si="0"/>
        <v/>
      </c>
      <c r="J21" s="51" t="str">
        <f t="shared" si="1"/>
        <v/>
      </c>
      <c r="K21" s="70" t="str">
        <f t="shared" si="2"/>
        <v/>
      </c>
      <c r="L21" s="69"/>
    </row>
    <row r="22" spans="2:12" x14ac:dyDescent="0.35">
      <c r="B22" s="65"/>
      <c r="C22" s="66"/>
      <c r="D22" s="66"/>
      <c r="E22" s="66"/>
      <c r="F22" s="45"/>
      <c r="G22" s="46"/>
      <c r="H22" s="46"/>
      <c r="I22" s="47" t="str">
        <f t="shared" si="0"/>
        <v/>
      </c>
      <c r="J22" s="46" t="str">
        <f t="shared" si="1"/>
        <v/>
      </c>
      <c r="K22" s="67" t="str">
        <f t="shared" si="2"/>
        <v/>
      </c>
      <c r="L22" s="66"/>
    </row>
    <row r="23" spans="2:12" x14ac:dyDescent="0.35">
      <c r="B23" s="68"/>
      <c r="C23" s="69"/>
      <c r="D23" s="69"/>
      <c r="E23" s="69"/>
      <c r="F23" s="50"/>
      <c r="G23" s="51"/>
      <c r="H23" s="51"/>
      <c r="I23" s="52" t="str">
        <f t="shared" si="0"/>
        <v/>
      </c>
      <c r="J23" s="51" t="str">
        <f t="shared" si="1"/>
        <v/>
      </c>
      <c r="K23" s="70" t="str">
        <f t="shared" si="2"/>
        <v/>
      </c>
      <c r="L23" s="69"/>
    </row>
    <row r="24" spans="2:12" x14ac:dyDescent="0.35">
      <c r="B24" s="65"/>
      <c r="C24" s="66"/>
      <c r="D24" s="66"/>
      <c r="E24" s="66"/>
      <c r="F24" s="45"/>
      <c r="G24" s="46"/>
      <c r="H24" s="46"/>
      <c r="I24" s="47" t="str">
        <f t="shared" si="0"/>
        <v/>
      </c>
      <c r="J24" s="46" t="str">
        <f t="shared" si="1"/>
        <v/>
      </c>
      <c r="K24" s="67" t="str">
        <f t="shared" si="2"/>
        <v/>
      </c>
      <c r="L24" s="66"/>
    </row>
    <row r="25" spans="2:12" x14ac:dyDescent="0.35">
      <c r="B25" s="68"/>
      <c r="C25" s="69"/>
      <c r="D25" s="69"/>
      <c r="E25" s="69"/>
      <c r="F25" s="50"/>
      <c r="G25" s="51"/>
      <c r="H25" s="51"/>
      <c r="I25" s="52" t="str">
        <f t="shared" si="0"/>
        <v/>
      </c>
      <c r="J25" s="51" t="str">
        <f t="shared" si="1"/>
        <v/>
      </c>
      <c r="K25" s="70" t="str">
        <f t="shared" si="2"/>
        <v/>
      </c>
      <c r="L25" s="69"/>
    </row>
    <row r="26" spans="2:12" x14ac:dyDescent="0.35">
      <c r="B26" s="65"/>
      <c r="C26" s="66"/>
      <c r="D26" s="66"/>
      <c r="E26" s="66"/>
      <c r="F26" s="45"/>
      <c r="G26" s="46"/>
      <c r="H26" s="46"/>
      <c r="I26" s="47" t="str">
        <f t="shared" si="0"/>
        <v/>
      </c>
      <c r="J26" s="46" t="str">
        <f t="shared" si="1"/>
        <v/>
      </c>
      <c r="K26" s="67" t="str">
        <f t="shared" si="2"/>
        <v/>
      </c>
      <c r="L26" s="66"/>
    </row>
    <row r="27" spans="2:12" x14ac:dyDescent="0.35">
      <c r="B27" s="68"/>
      <c r="C27" s="69"/>
      <c r="D27" s="69"/>
      <c r="E27" s="69"/>
      <c r="F27" s="50"/>
      <c r="G27" s="51"/>
      <c r="H27" s="51"/>
      <c r="I27" s="52" t="str">
        <f t="shared" si="0"/>
        <v/>
      </c>
      <c r="J27" s="51" t="str">
        <f t="shared" si="1"/>
        <v/>
      </c>
      <c r="K27" s="70" t="str">
        <f t="shared" si="2"/>
        <v/>
      </c>
      <c r="L27" s="69"/>
    </row>
    <row r="28" spans="2:12" x14ac:dyDescent="0.35">
      <c r="B28" s="65"/>
      <c r="C28" s="66"/>
      <c r="D28" s="66"/>
      <c r="E28" s="66"/>
      <c r="F28" s="45"/>
      <c r="G28" s="46"/>
      <c r="H28" s="46"/>
      <c r="I28" s="47" t="str">
        <f t="shared" si="0"/>
        <v/>
      </c>
      <c r="J28" s="46" t="str">
        <f t="shared" si="1"/>
        <v/>
      </c>
      <c r="K28" s="67" t="str">
        <f t="shared" si="2"/>
        <v/>
      </c>
      <c r="L28" s="66"/>
    </row>
    <row r="29" spans="2:12" x14ac:dyDescent="0.35">
      <c r="B29" s="68"/>
      <c r="C29" s="69"/>
      <c r="D29" s="69"/>
      <c r="E29" s="69"/>
      <c r="F29" s="50"/>
      <c r="G29" s="51"/>
      <c r="H29" s="51"/>
      <c r="I29" s="52" t="str">
        <f t="shared" si="0"/>
        <v/>
      </c>
      <c r="J29" s="51" t="str">
        <f t="shared" si="1"/>
        <v/>
      </c>
      <c r="K29" s="70" t="str">
        <f t="shared" si="2"/>
        <v/>
      </c>
      <c r="L29" s="69"/>
    </row>
    <row r="30" spans="2:12" x14ac:dyDescent="0.35">
      <c r="B30" s="65"/>
      <c r="C30" s="66"/>
      <c r="D30" s="66"/>
      <c r="E30" s="66"/>
      <c r="F30" s="45"/>
      <c r="G30" s="46"/>
      <c r="H30" s="46"/>
      <c r="I30" s="47" t="str">
        <f t="shared" si="0"/>
        <v/>
      </c>
      <c r="J30" s="46" t="str">
        <f t="shared" si="1"/>
        <v/>
      </c>
      <c r="K30" s="67" t="str">
        <f t="shared" si="2"/>
        <v/>
      </c>
      <c r="L30" s="66"/>
    </row>
    <row r="31" spans="2:12" x14ac:dyDescent="0.35">
      <c r="B31" s="68"/>
      <c r="C31" s="69"/>
      <c r="D31" s="69"/>
      <c r="E31" s="69"/>
      <c r="F31" s="50"/>
      <c r="G31" s="51"/>
      <c r="H31" s="51"/>
      <c r="I31" s="52" t="str">
        <f t="shared" si="0"/>
        <v/>
      </c>
      <c r="J31" s="51" t="str">
        <f t="shared" si="1"/>
        <v/>
      </c>
      <c r="K31" s="70" t="str">
        <f t="shared" si="2"/>
        <v/>
      </c>
      <c r="L31" s="69"/>
    </row>
    <row r="32" spans="2:12" x14ac:dyDescent="0.35">
      <c r="B32" s="65"/>
      <c r="C32" s="66"/>
      <c r="D32" s="66"/>
      <c r="E32" s="66"/>
      <c r="F32" s="45"/>
      <c r="G32" s="46"/>
      <c r="H32" s="46"/>
      <c r="I32" s="47" t="str">
        <f t="shared" si="0"/>
        <v/>
      </c>
      <c r="J32" s="46" t="str">
        <f t="shared" si="1"/>
        <v/>
      </c>
      <c r="K32" s="67" t="str">
        <f t="shared" si="2"/>
        <v/>
      </c>
      <c r="L32" s="66"/>
    </row>
    <row r="34" spans="2:12" ht="26" customHeight="1" x14ac:dyDescent="0.35">
      <c r="B34" s="77" t="s">
        <v>44</v>
      </c>
      <c r="C34" s="76"/>
      <c r="D34" s="76"/>
      <c r="E34" s="76"/>
      <c r="F34" s="76"/>
      <c r="G34" s="76"/>
      <c r="H34" s="76"/>
      <c r="I34" s="76"/>
      <c r="J34" s="76"/>
      <c r="K34" s="76"/>
      <c r="L34" s="76"/>
    </row>
    <row r="35" spans="2:12" ht="32" customHeight="1" x14ac:dyDescent="0.35">
      <c r="B35" s="42" t="s">
        <v>45</v>
      </c>
      <c r="C35" s="42" t="s">
        <v>46</v>
      </c>
      <c r="D35" s="42" t="s">
        <v>47</v>
      </c>
      <c r="E35" s="42" t="s">
        <v>48</v>
      </c>
      <c r="F35" s="42" t="s">
        <v>25</v>
      </c>
      <c r="G35" s="42" t="s">
        <v>26</v>
      </c>
      <c r="H35" s="42" t="s">
        <v>27</v>
      </c>
      <c r="I35" s="42" t="s">
        <v>28</v>
      </c>
      <c r="J35" s="42" t="s">
        <v>29</v>
      </c>
      <c r="K35" s="42" t="s">
        <v>30</v>
      </c>
      <c r="L35" s="42" t="s">
        <v>5</v>
      </c>
    </row>
    <row r="36" spans="2:12" x14ac:dyDescent="0.35">
      <c r="B36" s="65">
        <v>46065</v>
      </c>
      <c r="C36" s="66" t="s">
        <v>137</v>
      </c>
      <c r="D36" s="66" t="s">
        <v>138</v>
      </c>
      <c r="E36" s="71">
        <v>5</v>
      </c>
      <c r="F36" s="45">
        <v>0</v>
      </c>
      <c r="G36" s="46">
        <v>328.92</v>
      </c>
      <c r="H36" s="46">
        <v>1228.92</v>
      </c>
      <c r="I36" s="47" t="str">
        <f t="shared" ref="I36:I50" si="3">IF(OR(F36="",F36=0,H36="",H36=0),"",(H36-G36)/F36*100)</f>
        <v/>
      </c>
      <c r="J36" s="46">
        <f t="shared" ref="J36:J50" si="4">IF(OR(H36="",H36=0),"",MAX(H36-G36,0))</f>
        <v>900</v>
      </c>
      <c r="K36" s="67">
        <f t="shared" ref="K36:K50" si="5">IF(OR(H36="",H36=0),"",MAX((H36-G36)/H36,0))</f>
        <v>0.73235035641050672</v>
      </c>
      <c r="L36" s="66" t="s">
        <v>51</v>
      </c>
    </row>
    <row r="37" spans="2:12" x14ac:dyDescent="0.35">
      <c r="B37" s="68"/>
      <c r="C37" s="69"/>
      <c r="D37" s="69"/>
      <c r="E37" s="72"/>
      <c r="F37" s="50"/>
      <c r="G37" s="51"/>
      <c r="H37" s="51"/>
      <c r="I37" s="52" t="str">
        <f t="shared" si="3"/>
        <v/>
      </c>
      <c r="J37" s="51" t="str">
        <f t="shared" si="4"/>
        <v/>
      </c>
      <c r="K37" s="70" t="str">
        <f t="shared" si="5"/>
        <v/>
      </c>
      <c r="L37" s="69"/>
    </row>
    <row r="38" spans="2:12" x14ac:dyDescent="0.35">
      <c r="B38" s="65"/>
      <c r="C38" s="66"/>
      <c r="D38" s="66"/>
      <c r="E38" s="71"/>
      <c r="F38" s="45"/>
      <c r="G38" s="46"/>
      <c r="H38" s="46"/>
      <c r="I38" s="47" t="str">
        <f t="shared" si="3"/>
        <v/>
      </c>
      <c r="J38" s="46" t="str">
        <f t="shared" si="4"/>
        <v/>
      </c>
      <c r="K38" s="67" t="str">
        <f t="shared" si="5"/>
        <v/>
      </c>
      <c r="L38" s="66"/>
    </row>
    <row r="39" spans="2:12" x14ac:dyDescent="0.35">
      <c r="B39" s="68"/>
      <c r="C39" s="69"/>
      <c r="D39" s="69"/>
      <c r="E39" s="72"/>
      <c r="F39" s="50"/>
      <c r="G39" s="51"/>
      <c r="H39" s="51"/>
      <c r="I39" s="52" t="str">
        <f t="shared" si="3"/>
        <v/>
      </c>
      <c r="J39" s="51" t="str">
        <f t="shared" si="4"/>
        <v/>
      </c>
      <c r="K39" s="70" t="str">
        <f t="shared" si="5"/>
        <v/>
      </c>
      <c r="L39" s="69"/>
    </row>
    <row r="40" spans="2:12" x14ac:dyDescent="0.35">
      <c r="B40" s="65"/>
      <c r="C40" s="66"/>
      <c r="D40" s="66"/>
      <c r="E40" s="71"/>
      <c r="F40" s="45"/>
      <c r="G40" s="46"/>
      <c r="H40" s="46"/>
      <c r="I40" s="47" t="str">
        <f t="shared" si="3"/>
        <v/>
      </c>
      <c r="J40" s="46" t="str">
        <f t="shared" si="4"/>
        <v/>
      </c>
      <c r="K40" s="67" t="str">
        <f t="shared" si="5"/>
        <v/>
      </c>
      <c r="L40" s="66"/>
    </row>
    <row r="41" spans="2:12" x14ac:dyDescent="0.35">
      <c r="B41" s="68"/>
      <c r="C41" s="69"/>
      <c r="D41" s="69"/>
      <c r="E41" s="72"/>
      <c r="F41" s="50"/>
      <c r="G41" s="51"/>
      <c r="H41" s="51"/>
      <c r="I41" s="52" t="str">
        <f t="shared" si="3"/>
        <v/>
      </c>
      <c r="J41" s="51" t="str">
        <f t="shared" si="4"/>
        <v/>
      </c>
      <c r="K41" s="70" t="str">
        <f t="shared" si="5"/>
        <v/>
      </c>
      <c r="L41" s="69"/>
    </row>
    <row r="42" spans="2:12" x14ac:dyDescent="0.35">
      <c r="B42" s="65"/>
      <c r="C42" s="66"/>
      <c r="D42" s="66"/>
      <c r="E42" s="71"/>
      <c r="F42" s="45"/>
      <c r="G42" s="46"/>
      <c r="H42" s="46"/>
      <c r="I42" s="47" t="str">
        <f t="shared" si="3"/>
        <v/>
      </c>
      <c r="J42" s="46" t="str">
        <f t="shared" si="4"/>
        <v/>
      </c>
      <c r="K42" s="67" t="str">
        <f t="shared" si="5"/>
        <v/>
      </c>
      <c r="L42" s="66"/>
    </row>
    <row r="43" spans="2:12" x14ac:dyDescent="0.35">
      <c r="B43" s="68"/>
      <c r="C43" s="69"/>
      <c r="D43" s="69"/>
      <c r="E43" s="72"/>
      <c r="F43" s="50"/>
      <c r="G43" s="51"/>
      <c r="H43" s="51"/>
      <c r="I43" s="52" t="str">
        <f t="shared" si="3"/>
        <v/>
      </c>
      <c r="J43" s="51" t="str">
        <f t="shared" si="4"/>
        <v/>
      </c>
      <c r="K43" s="70" t="str">
        <f t="shared" si="5"/>
        <v/>
      </c>
      <c r="L43" s="69"/>
    </row>
    <row r="44" spans="2:12" x14ac:dyDescent="0.35">
      <c r="B44" s="65"/>
      <c r="C44" s="66"/>
      <c r="D44" s="66"/>
      <c r="E44" s="71"/>
      <c r="F44" s="45"/>
      <c r="G44" s="46"/>
      <c r="H44" s="46"/>
      <c r="I44" s="47" t="str">
        <f t="shared" si="3"/>
        <v/>
      </c>
      <c r="J44" s="46" t="str">
        <f t="shared" si="4"/>
        <v/>
      </c>
      <c r="K44" s="67" t="str">
        <f t="shared" si="5"/>
        <v/>
      </c>
      <c r="L44" s="66"/>
    </row>
    <row r="45" spans="2:12" x14ac:dyDescent="0.35">
      <c r="B45" s="68"/>
      <c r="C45" s="69"/>
      <c r="D45" s="69"/>
      <c r="E45" s="72"/>
      <c r="F45" s="50"/>
      <c r="G45" s="51"/>
      <c r="H45" s="51"/>
      <c r="I45" s="52" t="str">
        <f t="shared" si="3"/>
        <v/>
      </c>
      <c r="J45" s="51" t="str">
        <f t="shared" si="4"/>
        <v/>
      </c>
      <c r="K45" s="70" t="str">
        <f t="shared" si="5"/>
        <v/>
      </c>
      <c r="L45" s="69"/>
    </row>
    <row r="46" spans="2:12" x14ac:dyDescent="0.35">
      <c r="B46" s="65"/>
      <c r="C46" s="66"/>
      <c r="D46" s="66"/>
      <c r="E46" s="71"/>
      <c r="F46" s="45"/>
      <c r="G46" s="46"/>
      <c r="H46" s="46"/>
      <c r="I46" s="47" t="str">
        <f t="shared" si="3"/>
        <v/>
      </c>
      <c r="J46" s="46" t="str">
        <f t="shared" si="4"/>
        <v/>
      </c>
      <c r="K46" s="67" t="str">
        <f t="shared" si="5"/>
        <v/>
      </c>
      <c r="L46" s="66"/>
    </row>
    <row r="47" spans="2:12" x14ac:dyDescent="0.35">
      <c r="B47" s="68"/>
      <c r="C47" s="69"/>
      <c r="D47" s="69"/>
      <c r="E47" s="72"/>
      <c r="F47" s="50"/>
      <c r="G47" s="51"/>
      <c r="H47" s="51"/>
      <c r="I47" s="52" t="str">
        <f t="shared" si="3"/>
        <v/>
      </c>
      <c r="J47" s="51" t="str">
        <f t="shared" si="4"/>
        <v/>
      </c>
      <c r="K47" s="70" t="str">
        <f t="shared" si="5"/>
        <v/>
      </c>
      <c r="L47" s="69"/>
    </row>
    <row r="48" spans="2:12" x14ac:dyDescent="0.35">
      <c r="B48" s="65"/>
      <c r="C48" s="66"/>
      <c r="D48" s="66"/>
      <c r="E48" s="71"/>
      <c r="F48" s="45"/>
      <c r="G48" s="46"/>
      <c r="H48" s="46"/>
      <c r="I48" s="47" t="str">
        <f t="shared" si="3"/>
        <v/>
      </c>
      <c r="J48" s="46" t="str">
        <f t="shared" si="4"/>
        <v/>
      </c>
      <c r="K48" s="67" t="str">
        <f t="shared" si="5"/>
        <v/>
      </c>
      <c r="L48" s="66"/>
    </row>
    <row r="49" spans="2:12" x14ac:dyDescent="0.35">
      <c r="B49" s="68"/>
      <c r="C49" s="69"/>
      <c r="D49" s="69"/>
      <c r="E49" s="72"/>
      <c r="F49" s="50"/>
      <c r="G49" s="51"/>
      <c r="H49" s="51"/>
      <c r="I49" s="52" t="str">
        <f t="shared" si="3"/>
        <v/>
      </c>
      <c r="J49" s="51" t="str">
        <f t="shared" si="4"/>
        <v/>
      </c>
      <c r="K49" s="70" t="str">
        <f t="shared" si="5"/>
        <v/>
      </c>
      <c r="L49" s="69"/>
    </row>
    <row r="50" spans="2:12" x14ac:dyDescent="0.35">
      <c r="B50" s="65"/>
      <c r="C50" s="66"/>
      <c r="D50" s="66"/>
      <c r="E50" s="71"/>
      <c r="F50" s="45"/>
      <c r="G50" s="46"/>
      <c r="H50" s="46"/>
      <c r="I50" s="47" t="str">
        <f t="shared" si="3"/>
        <v/>
      </c>
      <c r="J50" s="46" t="str">
        <f t="shared" si="4"/>
        <v/>
      </c>
      <c r="K50" s="67" t="str">
        <f t="shared" si="5"/>
        <v/>
      </c>
      <c r="L50" s="66"/>
    </row>
    <row r="52" spans="2:12" ht="26" customHeight="1" x14ac:dyDescent="0.35">
      <c r="B52" s="77" t="s">
        <v>57</v>
      </c>
      <c r="C52" s="76"/>
      <c r="D52" s="76"/>
      <c r="E52" s="76"/>
      <c r="F52" s="76"/>
      <c r="G52" s="76"/>
      <c r="H52" s="76"/>
      <c r="I52" s="76"/>
      <c r="J52" s="76"/>
      <c r="K52" s="76"/>
      <c r="L52" s="76"/>
    </row>
    <row r="53" spans="2:12" ht="32" customHeight="1" x14ac:dyDescent="0.35">
      <c r="B53" s="42" t="s">
        <v>21</v>
      </c>
      <c r="C53" s="42" t="s">
        <v>58</v>
      </c>
      <c r="D53" s="42" t="s">
        <v>59</v>
      </c>
      <c r="E53" s="42" t="s">
        <v>60</v>
      </c>
      <c r="F53" s="42"/>
      <c r="G53" s="42"/>
      <c r="H53" s="42"/>
      <c r="I53" s="42" t="s">
        <v>61</v>
      </c>
      <c r="J53" s="42" t="s">
        <v>62</v>
      </c>
      <c r="K53" s="42" t="s">
        <v>63</v>
      </c>
      <c r="L53" s="42" t="s">
        <v>5</v>
      </c>
    </row>
    <row r="54" spans="2:12" x14ac:dyDescent="0.35">
      <c r="B54" s="65"/>
      <c r="C54" s="66"/>
      <c r="D54" s="66"/>
      <c r="E54" s="71"/>
      <c r="F54" s="73"/>
      <c r="G54" s="73"/>
      <c r="H54" s="73"/>
      <c r="I54" s="46"/>
      <c r="J54" s="73"/>
      <c r="K54" s="73"/>
      <c r="L54" s="66"/>
    </row>
    <row r="55" spans="2:12" x14ac:dyDescent="0.35">
      <c r="B55" s="68"/>
      <c r="C55" s="69"/>
      <c r="D55" s="69"/>
      <c r="E55" s="72"/>
      <c r="F55" s="74"/>
      <c r="G55" s="74"/>
      <c r="H55" s="74"/>
      <c r="I55" s="51"/>
      <c r="J55" s="74"/>
      <c r="K55" s="74"/>
      <c r="L55" s="69"/>
    </row>
    <row r="56" spans="2:12" x14ac:dyDescent="0.35">
      <c r="B56" s="65"/>
      <c r="C56" s="66"/>
      <c r="D56" s="66"/>
      <c r="E56" s="71"/>
      <c r="F56" s="73"/>
      <c r="G56" s="73"/>
      <c r="H56" s="73"/>
      <c r="I56" s="46"/>
      <c r="J56" s="73"/>
      <c r="K56" s="73"/>
      <c r="L56" s="66"/>
    </row>
    <row r="57" spans="2:12" x14ac:dyDescent="0.35">
      <c r="B57" s="68"/>
      <c r="C57" s="69"/>
      <c r="D57" s="69"/>
      <c r="E57" s="72"/>
      <c r="F57" s="74"/>
      <c r="G57" s="74"/>
      <c r="H57" s="74"/>
      <c r="I57" s="51"/>
      <c r="J57" s="74"/>
      <c r="K57" s="74"/>
      <c r="L57" s="69"/>
    </row>
    <row r="58" spans="2:12" x14ac:dyDescent="0.35">
      <c r="B58" s="65"/>
      <c r="C58" s="66"/>
      <c r="D58" s="66"/>
      <c r="E58" s="71"/>
      <c r="F58" s="73"/>
      <c r="G58" s="73"/>
      <c r="H58" s="73"/>
      <c r="I58" s="46"/>
      <c r="J58" s="73"/>
      <c r="K58" s="73"/>
      <c r="L58" s="66"/>
    </row>
    <row r="59" spans="2:12" x14ac:dyDescent="0.35">
      <c r="B59" s="68"/>
      <c r="C59" s="69"/>
      <c r="D59" s="69"/>
      <c r="E59" s="72"/>
      <c r="F59" s="74"/>
      <c r="G59" s="74"/>
      <c r="H59" s="74"/>
      <c r="I59" s="51"/>
      <c r="J59" s="74"/>
      <c r="K59" s="74"/>
      <c r="L59" s="69"/>
    </row>
    <row r="60" spans="2:12" x14ac:dyDescent="0.35">
      <c r="B60" s="65"/>
      <c r="C60" s="66"/>
      <c r="D60" s="66"/>
      <c r="E60" s="71"/>
      <c r="F60" s="73"/>
      <c r="G60" s="73"/>
      <c r="H60" s="73"/>
      <c r="I60" s="46"/>
      <c r="J60" s="73"/>
      <c r="K60" s="73"/>
      <c r="L60" s="66"/>
    </row>
    <row r="61" spans="2:12" x14ac:dyDescent="0.35">
      <c r="B61" s="68"/>
      <c r="C61" s="69"/>
      <c r="D61" s="69"/>
      <c r="E61" s="72"/>
      <c r="F61" s="74"/>
      <c r="G61" s="74"/>
      <c r="H61" s="74"/>
      <c r="I61" s="51"/>
      <c r="J61" s="74"/>
      <c r="K61" s="74"/>
      <c r="L61" s="69"/>
    </row>
    <row r="62" spans="2:12" x14ac:dyDescent="0.35">
      <c r="B62" s="65"/>
      <c r="C62" s="66"/>
      <c r="D62" s="66"/>
      <c r="E62" s="71"/>
      <c r="F62" s="73"/>
      <c r="G62" s="73"/>
      <c r="H62" s="73"/>
      <c r="I62" s="46"/>
      <c r="J62" s="73"/>
      <c r="K62" s="73"/>
      <c r="L62" s="66"/>
    </row>
    <row r="63" spans="2:12" x14ac:dyDescent="0.35">
      <c r="B63" s="68"/>
      <c r="C63" s="69"/>
      <c r="D63" s="69"/>
      <c r="E63" s="72"/>
      <c r="F63" s="74"/>
      <c r="G63" s="74"/>
      <c r="H63" s="74"/>
      <c r="I63" s="51"/>
      <c r="J63" s="74"/>
      <c r="K63" s="74"/>
      <c r="L63" s="69"/>
    </row>
    <row r="64" spans="2:12" x14ac:dyDescent="0.35">
      <c r="B64" s="65"/>
      <c r="C64" s="66"/>
      <c r="D64" s="66"/>
      <c r="E64" s="71"/>
      <c r="F64" s="73"/>
      <c r="G64" s="73"/>
      <c r="H64" s="73"/>
      <c r="I64" s="46"/>
      <c r="J64" s="73"/>
      <c r="K64" s="73"/>
      <c r="L64" s="66"/>
    </row>
    <row r="65" spans="2:12" x14ac:dyDescent="0.35">
      <c r="B65" s="68"/>
      <c r="C65" s="69"/>
      <c r="D65" s="69"/>
      <c r="E65" s="72"/>
      <c r="F65" s="74"/>
      <c r="G65" s="74"/>
      <c r="H65" s="74"/>
      <c r="I65" s="51"/>
      <c r="J65" s="74"/>
      <c r="K65" s="74"/>
      <c r="L65" s="69"/>
    </row>
    <row r="66" spans="2:12" x14ac:dyDescent="0.35">
      <c r="B66" s="65"/>
      <c r="C66" s="66"/>
      <c r="D66" s="66"/>
      <c r="E66" s="71"/>
      <c r="F66" s="73"/>
      <c r="G66" s="73"/>
      <c r="H66" s="73"/>
      <c r="I66" s="46"/>
      <c r="J66" s="73"/>
      <c r="K66" s="73"/>
      <c r="L66" s="66"/>
    </row>
    <row r="67" spans="2:12" x14ac:dyDescent="0.35">
      <c r="B67" s="68"/>
      <c r="C67" s="69"/>
      <c r="D67" s="69"/>
      <c r="E67" s="72"/>
      <c r="F67" s="74"/>
      <c r="G67" s="74"/>
      <c r="H67" s="74"/>
      <c r="I67" s="51"/>
      <c r="J67" s="74"/>
      <c r="K67" s="74"/>
      <c r="L67" s="69"/>
    </row>
    <row r="68" spans="2:12" x14ac:dyDescent="0.35">
      <c r="B68" s="65"/>
      <c r="C68" s="66"/>
      <c r="D68" s="66"/>
      <c r="E68" s="71"/>
      <c r="F68" s="73"/>
      <c r="G68" s="73"/>
      <c r="H68" s="73"/>
      <c r="I68" s="46"/>
      <c r="J68" s="73"/>
      <c r="K68" s="73"/>
      <c r="L68" s="66"/>
    </row>
  </sheetData>
  <mergeCells count="31">
    <mergeCell ref="B52:L52"/>
    <mergeCell ref="B11:C11"/>
    <mergeCell ref="E10:F10"/>
    <mergeCell ref="B2:L2"/>
    <mergeCell ref="B14:C14"/>
    <mergeCell ref="E13:F13"/>
    <mergeCell ref="B8:C8"/>
    <mergeCell ref="B13:C13"/>
    <mergeCell ref="H11:I11"/>
    <mergeCell ref="H7:I7"/>
    <mergeCell ref="B10:C10"/>
    <mergeCell ref="E11:F11"/>
    <mergeCell ref="B34:L34"/>
    <mergeCell ref="F4:H4"/>
    <mergeCell ref="J8:L8"/>
    <mergeCell ref="H13:I13"/>
    <mergeCell ref="B7:C7"/>
    <mergeCell ref="B16:L16"/>
    <mergeCell ref="H10:I10"/>
    <mergeCell ref="J4:L4"/>
    <mergeCell ref="E14:F14"/>
    <mergeCell ref="E8:F8"/>
    <mergeCell ref="J11:L11"/>
    <mergeCell ref="J7:L7"/>
    <mergeCell ref="H14:I14"/>
    <mergeCell ref="J14:L14"/>
    <mergeCell ref="B6:L6"/>
    <mergeCell ref="J10:L10"/>
    <mergeCell ref="E7:F7"/>
    <mergeCell ref="J13:L13"/>
    <mergeCell ref="H8:I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L68"/>
  <sheetViews>
    <sheetView showGridLines="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2" customWidth="1"/>
    <col min="2" max="2" width="13" customWidth="1"/>
    <col min="3" max="4" width="22" customWidth="1"/>
    <col min="5" max="5" width="12" customWidth="1"/>
    <col min="6" max="6" width="11" customWidth="1"/>
    <col min="7" max="8" width="13" customWidth="1"/>
    <col min="9" max="9" width="11" customWidth="1"/>
    <col min="10" max="10" width="12" customWidth="1"/>
    <col min="11" max="11" width="9" customWidth="1"/>
    <col min="12" max="12" width="30" customWidth="1"/>
  </cols>
  <sheetData>
    <row r="2" spans="2:12" ht="42" customHeight="1" x14ac:dyDescent="0.35">
      <c r="B2" s="82" t="s">
        <v>139</v>
      </c>
      <c r="C2" s="76"/>
      <c r="D2" s="76"/>
      <c r="E2" s="76"/>
      <c r="F2" s="76"/>
      <c r="G2" s="76"/>
      <c r="H2" s="76"/>
      <c r="I2" s="76"/>
      <c r="J2" s="76"/>
      <c r="K2" s="76"/>
      <c r="L2" s="76"/>
    </row>
    <row r="4" spans="2:12" ht="22" customHeight="1" x14ac:dyDescent="0.35">
      <c r="B4" s="63" t="s">
        <v>1</v>
      </c>
      <c r="C4" s="64" t="s">
        <v>140</v>
      </c>
      <c r="E4" s="63" t="s">
        <v>3</v>
      </c>
      <c r="F4" s="78" t="s">
        <v>141</v>
      </c>
      <c r="G4" s="76"/>
      <c r="H4" s="76"/>
      <c r="I4" s="63" t="s">
        <v>5</v>
      </c>
      <c r="J4" s="78" t="s">
        <v>142</v>
      </c>
      <c r="K4" s="76"/>
      <c r="L4" s="76"/>
    </row>
    <row r="6" spans="2:12" ht="26" customHeight="1" x14ac:dyDescent="0.35">
      <c r="B6" s="77" t="s">
        <v>7</v>
      </c>
      <c r="C6" s="76"/>
      <c r="D6" s="76"/>
      <c r="E6" s="76"/>
      <c r="F6" s="76"/>
      <c r="G6" s="76"/>
      <c r="H6" s="76"/>
      <c r="I6" s="76"/>
      <c r="J6" s="76"/>
      <c r="K6" s="76"/>
      <c r="L6" s="76"/>
    </row>
    <row r="7" spans="2:12" x14ac:dyDescent="0.35">
      <c r="B7" s="75" t="s">
        <v>8</v>
      </c>
      <c r="C7" s="76"/>
      <c r="E7" s="75" t="s">
        <v>9</v>
      </c>
      <c r="F7" s="76"/>
      <c r="H7" s="75" t="s">
        <v>10</v>
      </c>
      <c r="I7" s="76"/>
      <c r="J7" s="75" t="s">
        <v>11</v>
      </c>
      <c r="K7" s="76"/>
      <c r="L7" s="76"/>
    </row>
    <row r="8" spans="2:12" ht="28" customHeight="1" x14ac:dyDescent="0.35">
      <c r="B8" s="80">
        <f>SUM(G18:G32)+SUM(G36:G50)+SUM(H54:H68)</f>
        <v>5480.24</v>
      </c>
      <c r="C8" s="76"/>
      <c r="E8" s="80">
        <f>SUM(G18:G32)+SUM(G36:G50)</f>
        <v>3547.34</v>
      </c>
      <c r="F8" s="76"/>
      <c r="H8" s="80">
        <f>SUM(H54:H68)</f>
        <v>1932.9</v>
      </c>
      <c r="I8" s="76"/>
      <c r="J8" s="83">
        <f>SUM(F18:F32)+SUM(F36:F50)</f>
        <v>438000</v>
      </c>
      <c r="K8" s="76"/>
      <c r="L8" s="76"/>
    </row>
    <row r="10" spans="2:12" x14ac:dyDescent="0.35">
      <c r="B10" s="75" t="s">
        <v>12</v>
      </c>
      <c r="C10" s="76"/>
      <c r="E10" s="75" t="s">
        <v>13</v>
      </c>
      <c r="F10" s="76"/>
      <c r="H10" s="75" t="s">
        <v>14</v>
      </c>
      <c r="I10" s="76"/>
      <c r="J10" s="75" t="s">
        <v>15</v>
      </c>
      <c r="K10" s="76"/>
      <c r="L10" s="76"/>
    </row>
    <row r="11" spans="2:12" ht="28" customHeight="1" x14ac:dyDescent="0.35">
      <c r="B11" s="80">
        <f>SUM(H18:H32)+SUM(H36:H50)</f>
        <v>31222.940000000002</v>
      </c>
      <c r="C11" s="76"/>
      <c r="E11" s="80">
        <f>IFERROR((SUM(H18:H32)+SUM(H36:H50))-(SUM(G18:G32)+SUM(G36:G50)),0)</f>
        <v>27675.600000000002</v>
      </c>
      <c r="F11" s="76"/>
      <c r="H11" s="79">
        <f>IFERROR(E11/J8*100,0)</f>
        <v>6.3186301369863012</v>
      </c>
      <c r="I11" s="76"/>
      <c r="J11" s="81">
        <f>IFERROR(E11/B11,0)</f>
        <v>0.88638674000590589</v>
      </c>
      <c r="K11" s="76"/>
      <c r="L11" s="76"/>
    </row>
    <row r="13" spans="2:12" x14ac:dyDescent="0.35">
      <c r="B13" s="75" t="s">
        <v>16</v>
      </c>
      <c r="C13" s="76"/>
      <c r="E13" s="75" t="s">
        <v>17</v>
      </c>
      <c r="F13" s="76"/>
      <c r="H13" s="75" t="s">
        <v>18</v>
      </c>
      <c r="I13" s="76"/>
      <c r="J13" s="75" t="s">
        <v>19</v>
      </c>
      <c r="K13" s="76"/>
      <c r="L13" s="76"/>
    </row>
    <row r="14" spans="2:12" ht="28" customHeight="1" x14ac:dyDescent="0.35">
      <c r="B14" s="83">
        <f>SUM(F18:F32)</f>
        <v>438000</v>
      </c>
      <c r="C14" s="76"/>
      <c r="E14" s="79">
        <f>IFERROR((SUM(H18:H32)-SUM(G18:G32))/SUM(F18:F32)*100,0)</f>
        <v>6.0789041095890415</v>
      </c>
      <c r="F14" s="76"/>
      <c r="H14" s="83">
        <f>SUM(F36:F50)</f>
        <v>0</v>
      </c>
      <c r="I14" s="76"/>
      <c r="J14" s="79">
        <f>IFERROR((SUM(H36:H50)-SUM(G36:G50))/SUM(F36:F50)*100,0)</f>
        <v>0</v>
      </c>
      <c r="K14" s="76"/>
      <c r="L14" s="76"/>
    </row>
    <row r="16" spans="2:12" ht="26" customHeight="1" x14ac:dyDescent="0.35">
      <c r="B16" s="77" t="s">
        <v>20</v>
      </c>
      <c r="C16" s="76"/>
      <c r="D16" s="76"/>
      <c r="E16" s="76"/>
      <c r="F16" s="76"/>
      <c r="G16" s="76"/>
      <c r="H16" s="76"/>
      <c r="I16" s="76"/>
      <c r="J16" s="76"/>
      <c r="K16" s="76"/>
      <c r="L16" s="76"/>
    </row>
    <row r="17" spans="2:12" ht="32" customHeight="1" x14ac:dyDescent="0.35">
      <c r="B17" s="42" t="s">
        <v>21</v>
      </c>
      <c r="C17" s="42" t="s">
        <v>22</v>
      </c>
      <c r="D17" s="42" t="s">
        <v>23</v>
      </c>
      <c r="E17" s="42" t="s">
        <v>24</v>
      </c>
      <c r="F17" s="42" t="s">
        <v>25</v>
      </c>
      <c r="G17" s="42" t="s">
        <v>26</v>
      </c>
      <c r="H17" s="42" t="s">
        <v>27</v>
      </c>
      <c r="I17" s="42" t="s">
        <v>28</v>
      </c>
      <c r="J17" s="42" t="s">
        <v>29</v>
      </c>
      <c r="K17" s="42" t="s">
        <v>30</v>
      </c>
      <c r="L17" s="42" t="s">
        <v>5</v>
      </c>
    </row>
    <row r="18" spans="2:12" x14ac:dyDescent="0.35">
      <c r="B18" s="65">
        <v>46230</v>
      </c>
      <c r="C18" s="66" t="s">
        <v>143</v>
      </c>
      <c r="D18" s="66" t="s">
        <v>144</v>
      </c>
      <c r="E18" s="66" t="s">
        <v>56</v>
      </c>
      <c r="F18" s="45">
        <v>0</v>
      </c>
      <c r="G18" s="46">
        <v>0</v>
      </c>
      <c r="H18" s="46">
        <v>0</v>
      </c>
      <c r="I18" s="47" t="str">
        <f t="shared" ref="I18:I32" si="0">IF(OR(F18="",F18=0,H18="",H18=0),"",(H18-G18)/F18*100)</f>
        <v/>
      </c>
      <c r="J18" s="46" t="str">
        <f t="shared" ref="J18:J32" si="1">IF(OR(H18="",H18=0),"",MAX(H18-G18,0))</f>
        <v/>
      </c>
      <c r="K18" s="67" t="str">
        <f t="shared" ref="K18:K32" si="2">IF(OR(H18="",H18=0),"",MAX((H18-G18)/H18,0))</f>
        <v/>
      </c>
      <c r="L18" s="66" t="s">
        <v>145</v>
      </c>
    </row>
    <row r="19" spans="2:12" x14ac:dyDescent="0.35">
      <c r="B19" s="68">
        <v>46231</v>
      </c>
      <c r="C19" s="69" t="s">
        <v>146</v>
      </c>
      <c r="D19" s="69" t="s">
        <v>147</v>
      </c>
      <c r="E19" s="69" t="s">
        <v>33</v>
      </c>
      <c r="F19" s="50">
        <v>170000</v>
      </c>
      <c r="G19" s="51">
        <v>22.4</v>
      </c>
      <c r="H19" s="51">
        <v>15200</v>
      </c>
      <c r="I19" s="52">
        <f t="shared" si="0"/>
        <v>8.927999999999999</v>
      </c>
      <c r="J19" s="51">
        <f t="shared" si="1"/>
        <v>15177.6</v>
      </c>
      <c r="K19" s="70">
        <f t="shared" si="2"/>
        <v>0.99852631578947371</v>
      </c>
      <c r="L19" s="69" t="s">
        <v>148</v>
      </c>
    </row>
    <row r="20" spans="2:12" x14ac:dyDescent="0.35">
      <c r="B20" s="65">
        <v>46235</v>
      </c>
      <c r="C20" s="66" t="s">
        <v>149</v>
      </c>
      <c r="D20" s="66" t="s">
        <v>150</v>
      </c>
      <c r="E20" s="66" t="s">
        <v>42</v>
      </c>
      <c r="F20" s="45">
        <v>0</v>
      </c>
      <c r="G20" s="46">
        <v>423.2</v>
      </c>
      <c r="H20" s="46">
        <v>423.2</v>
      </c>
      <c r="I20" s="47" t="str">
        <f t="shared" si="0"/>
        <v/>
      </c>
      <c r="J20" s="46">
        <f t="shared" si="1"/>
        <v>0</v>
      </c>
      <c r="K20" s="67">
        <f t="shared" si="2"/>
        <v>0</v>
      </c>
      <c r="L20" s="66" t="s">
        <v>151</v>
      </c>
    </row>
    <row r="21" spans="2:12" x14ac:dyDescent="0.35">
      <c r="B21" s="68">
        <v>46238</v>
      </c>
      <c r="C21" s="69" t="s">
        <v>149</v>
      </c>
      <c r="D21" s="69" t="s">
        <v>152</v>
      </c>
      <c r="E21" s="69" t="s">
        <v>42</v>
      </c>
      <c r="F21" s="50">
        <v>0</v>
      </c>
      <c r="G21" s="51">
        <v>426</v>
      </c>
      <c r="H21" s="51">
        <v>426</v>
      </c>
      <c r="I21" s="52" t="str">
        <f t="shared" si="0"/>
        <v/>
      </c>
      <c r="J21" s="51">
        <f t="shared" si="1"/>
        <v>0</v>
      </c>
      <c r="K21" s="70">
        <f t="shared" si="2"/>
        <v>0</v>
      </c>
      <c r="L21" s="69" t="s">
        <v>153</v>
      </c>
    </row>
    <row r="22" spans="2:12" x14ac:dyDescent="0.35">
      <c r="B22" s="65">
        <v>46242</v>
      </c>
      <c r="C22" s="66" t="s">
        <v>154</v>
      </c>
      <c r="D22" s="66" t="s">
        <v>155</v>
      </c>
      <c r="E22" s="66" t="s">
        <v>33</v>
      </c>
      <c r="F22" s="45">
        <v>268000</v>
      </c>
      <c r="G22" s="46">
        <v>1744</v>
      </c>
      <c r="H22" s="46">
        <v>13192</v>
      </c>
      <c r="I22" s="47">
        <f t="shared" si="0"/>
        <v>4.2716417910447761</v>
      </c>
      <c r="J22" s="46">
        <f t="shared" si="1"/>
        <v>11448</v>
      </c>
      <c r="K22" s="67">
        <f t="shared" si="2"/>
        <v>0.86779866585809584</v>
      </c>
      <c r="L22" s="66" t="s">
        <v>156</v>
      </c>
    </row>
    <row r="23" spans="2:12" x14ac:dyDescent="0.35">
      <c r="B23" s="68"/>
      <c r="C23" s="69"/>
      <c r="D23" s="69"/>
      <c r="E23" s="69"/>
      <c r="F23" s="50"/>
      <c r="G23" s="51"/>
      <c r="H23" s="51"/>
      <c r="I23" s="52" t="str">
        <f t="shared" si="0"/>
        <v/>
      </c>
      <c r="J23" s="51" t="str">
        <f t="shared" si="1"/>
        <v/>
      </c>
      <c r="K23" s="70" t="str">
        <f t="shared" si="2"/>
        <v/>
      </c>
      <c r="L23" s="69"/>
    </row>
    <row r="24" spans="2:12" x14ac:dyDescent="0.35">
      <c r="B24" s="65"/>
      <c r="C24" s="66"/>
      <c r="D24" s="66"/>
      <c r="E24" s="66"/>
      <c r="F24" s="45"/>
      <c r="G24" s="46"/>
      <c r="H24" s="46"/>
      <c r="I24" s="47" t="str">
        <f t="shared" si="0"/>
        <v/>
      </c>
      <c r="J24" s="46" t="str">
        <f t="shared" si="1"/>
        <v/>
      </c>
      <c r="K24" s="67" t="str">
        <f t="shared" si="2"/>
        <v/>
      </c>
      <c r="L24" s="66"/>
    </row>
    <row r="25" spans="2:12" x14ac:dyDescent="0.35">
      <c r="B25" s="68"/>
      <c r="C25" s="69"/>
      <c r="D25" s="69"/>
      <c r="E25" s="69"/>
      <c r="F25" s="50"/>
      <c r="G25" s="51"/>
      <c r="H25" s="51"/>
      <c r="I25" s="52" t="str">
        <f t="shared" si="0"/>
        <v/>
      </c>
      <c r="J25" s="51" t="str">
        <f t="shared" si="1"/>
        <v/>
      </c>
      <c r="K25" s="70" t="str">
        <f t="shared" si="2"/>
        <v/>
      </c>
      <c r="L25" s="69"/>
    </row>
    <row r="26" spans="2:12" x14ac:dyDescent="0.35">
      <c r="B26" s="65"/>
      <c r="C26" s="66"/>
      <c r="D26" s="66"/>
      <c r="E26" s="66"/>
      <c r="F26" s="45"/>
      <c r="G26" s="46"/>
      <c r="H26" s="46"/>
      <c r="I26" s="47" t="str">
        <f t="shared" si="0"/>
        <v/>
      </c>
      <c r="J26" s="46" t="str">
        <f t="shared" si="1"/>
        <v/>
      </c>
      <c r="K26" s="67" t="str">
        <f t="shared" si="2"/>
        <v/>
      </c>
      <c r="L26" s="66"/>
    </row>
    <row r="27" spans="2:12" x14ac:dyDescent="0.35">
      <c r="B27" s="68"/>
      <c r="C27" s="69"/>
      <c r="D27" s="69"/>
      <c r="E27" s="69"/>
      <c r="F27" s="50"/>
      <c r="G27" s="51"/>
      <c r="H27" s="51"/>
      <c r="I27" s="52" t="str">
        <f t="shared" si="0"/>
        <v/>
      </c>
      <c r="J27" s="51" t="str">
        <f t="shared" si="1"/>
        <v/>
      </c>
      <c r="K27" s="70" t="str">
        <f t="shared" si="2"/>
        <v/>
      </c>
      <c r="L27" s="69"/>
    </row>
    <row r="28" spans="2:12" x14ac:dyDescent="0.35">
      <c r="B28" s="65"/>
      <c r="C28" s="66"/>
      <c r="D28" s="66"/>
      <c r="E28" s="66"/>
      <c r="F28" s="45"/>
      <c r="G28" s="46"/>
      <c r="H28" s="46"/>
      <c r="I28" s="47" t="str">
        <f t="shared" si="0"/>
        <v/>
      </c>
      <c r="J28" s="46" t="str">
        <f t="shared" si="1"/>
        <v/>
      </c>
      <c r="K28" s="67" t="str">
        <f t="shared" si="2"/>
        <v/>
      </c>
      <c r="L28" s="66"/>
    </row>
    <row r="29" spans="2:12" x14ac:dyDescent="0.35">
      <c r="B29" s="68"/>
      <c r="C29" s="69"/>
      <c r="D29" s="69"/>
      <c r="E29" s="69"/>
      <c r="F29" s="50"/>
      <c r="G29" s="51"/>
      <c r="H29" s="51"/>
      <c r="I29" s="52" t="str">
        <f t="shared" si="0"/>
        <v/>
      </c>
      <c r="J29" s="51" t="str">
        <f t="shared" si="1"/>
        <v/>
      </c>
      <c r="K29" s="70" t="str">
        <f t="shared" si="2"/>
        <v/>
      </c>
      <c r="L29" s="69"/>
    </row>
    <row r="30" spans="2:12" x14ac:dyDescent="0.35">
      <c r="B30" s="65"/>
      <c r="C30" s="66"/>
      <c r="D30" s="66"/>
      <c r="E30" s="66"/>
      <c r="F30" s="45"/>
      <c r="G30" s="46"/>
      <c r="H30" s="46"/>
      <c r="I30" s="47" t="str">
        <f t="shared" si="0"/>
        <v/>
      </c>
      <c r="J30" s="46" t="str">
        <f t="shared" si="1"/>
        <v/>
      </c>
      <c r="K30" s="67" t="str">
        <f t="shared" si="2"/>
        <v/>
      </c>
      <c r="L30" s="66"/>
    </row>
    <row r="31" spans="2:12" x14ac:dyDescent="0.35">
      <c r="B31" s="68"/>
      <c r="C31" s="69"/>
      <c r="D31" s="69"/>
      <c r="E31" s="69"/>
      <c r="F31" s="50"/>
      <c r="G31" s="51"/>
      <c r="H31" s="51"/>
      <c r="I31" s="52" t="str">
        <f t="shared" si="0"/>
        <v/>
      </c>
      <c r="J31" s="51" t="str">
        <f t="shared" si="1"/>
        <v/>
      </c>
      <c r="K31" s="70" t="str">
        <f t="shared" si="2"/>
        <v/>
      </c>
      <c r="L31" s="69"/>
    </row>
    <row r="32" spans="2:12" x14ac:dyDescent="0.35">
      <c r="B32" s="65"/>
      <c r="C32" s="66"/>
      <c r="D32" s="66"/>
      <c r="E32" s="66"/>
      <c r="F32" s="45"/>
      <c r="G32" s="46"/>
      <c r="H32" s="46"/>
      <c r="I32" s="47" t="str">
        <f t="shared" si="0"/>
        <v/>
      </c>
      <c r="J32" s="46" t="str">
        <f t="shared" si="1"/>
        <v/>
      </c>
      <c r="K32" s="67" t="str">
        <f t="shared" si="2"/>
        <v/>
      </c>
      <c r="L32" s="66"/>
    </row>
    <row r="34" spans="2:12" ht="26" customHeight="1" x14ac:dyDescent="0.35">
      <c r="B34" s="77" t="s">
        <v>44</v>
      </c>
      <c r="C34" s="76"/>
      <c r="D34" s="76"/>
      <c r="E34" s="76"/>
      <c r="F34" s="76"/>
      <c r="G34" s="76"/>
      <c r="H34" s="76"/>
      <c r="I34" s="76"/>
      <c r="J34" s="76"/>
      <c r="K34" s="76"/>
      <c r="L34" s="76"/>
    </row>
    <row r="35" spans="2:12" ht="32" customHeight="1" x14ac:dyDescent="0.35">
      <c r="B35" s="42" t="s">
        <v>45</v>
      </c>
      <c r="C35" s="42" t="s">
        <v>46</v>
      </c>
      <c r="D35" s="42" t="s">
        <v>47</v>
      </c>
      <c r="E35" s="42" t="s">
        <v>48</v>
      </c>
      <c r="F35" s="42" t="s">
        <v>25</v>
      </c>
      <c r="G35" s="42" t="s">
        <v>26</v>
      </c>
      <c r="H35" s="42" t="s">
        <v>27</v>
      </c>
      <c r="I35" s="42" t="s">
        <v>28</v>
      </c>
      <c r="J35" s="42" t="s">
        <v>29</v>
      </c>
      <c r="K35" s="42" t="s">
        <v>30</v>
      </c>
      <c r="L35" s="42" t="s">
        <v>5</v>
      </c>
    </row>
    <row r="36" spans="2:12" x14ac:dyDescent="0.35">
      <c r="B36" s="65">
        <v>46231</v>
      </c>
      <c r="C36" s="66" t="s">
        <v>157</v>
      </c>
      <c r="D36" s="66" t="s">
        <v>158</v>
      </c>
      <c r="E36" s="71">
        <v>4</v>
      </c>
      <c r="F36" s="45">
        <v>0</v>
      </c>
      <c r="G36" s="46">
        <v>931.74</v>
      </c>
      <c r="H36" s="46">
        <v>1981.74</v>
      </c>
      <c r="I36" s="47" t="str">
        <f t="shared" ref="I36:I50" si="3">IF(OR(F36="",F36=0,H36="",H36=0),"",(H36-G36)/F36*100)</f>
        <v/>
      </c>
      <c r="J36" s="46">
        <f t="shared" ref="J36:J50" si="4">IF(OR(H36="",H36=0),"",MAX(H36-G36,0))</f>
        <v>1050</v>
      </c>
      <c r="K36" s="67">
        <f t="shared" ref="K36:K50" si="5">IF(OR(H36="",H36=0),"",MAX((H36-G36)/H36,0))</f>
        <v>0.52983741560446884</v>
      </c>
      <c r="L36" s="66" t="s">
        <v>159</v>
      </c>
    </row>
    <row r="37" spans="2:12" x14ac:dyDescent="0.35">
      <c r="B37" s="68"/>
      <c r="C37" s="69"/>
      <c r="D37" s="69"/>
      <c r="E37" s="72"/>
      <c r="F37" s="50"/>
      <c r="G37" s="51"/>
      <c r="H37" s="51"/>
      <c r="I37" s="52" t="str">
        <f t="shared" si="3"/>
        <v/>
      </c>
      <c r="J37" s="51" t="str">
        <f t="shared" si="4"/>
        <v/>
      </c>
      <c r="K37" s="70" t="str">
        <f t="shared" si="5"/>
        <v/>
      </c>
      <c r="L37" s="69"/>
    </row>
    <row r="38" spans="2:12" x14ac:dyDescent="0.35">
      <c r="B38" s="65"/>
      <c r="C38" s="66"/>
      <c r="D38" s="66"/>
      <c r="E38" s="71"/>
      <c r="F38" s="45"/>
      <c r="G38" s="46"/>
      <c r="H38" s="46"/>
      <c r="I38" s="47" t="str">
        <f t="shared" si="3"/>
        <v/>
      </c>
      <c r="J38" s="46" t="str">
        <f t="shared" si="4"/>
        <v/>
      </c>
      <c r="K38" s="67" t="str">
        <f t="shared" si="5"/>
        <v/>
      </c>
      <c r="L38" s="66"/>
    </row>
    <row r="39" spans="2:12" x14ac:dyDescent="0.35">
      <c r="B39" s="68"/>
      <c r="C39" s="69"/>
      <c r="D39" s="69"/>
      <c r="E39" s="72"/>
      <c r="F39" s="50"/>
      <c r="G39" s="51"/>
      <c r="H39" s="51"/>
      <c r="I39" s="52" t="str">
        <f t="shared" si="3"/>
        <v/>
      </c>
      <c r="J39" s="51" t="str">
        <f t="shared" si="4"/>
        <v/>
      </c>
      <c r="K39" s="70" t="str">
        <f t="shared" si="5"/>
        <v/>
      </c>
      <c r="L39" s="69"/>
    </row>
    <row r="40" spans="2:12" x14ac:dyDescent="0.35">
      <c r="B40" s="65"/>
      <c r="C40" s="66"/>
      <c r="D40" s="66"/>
      <c r="E40" s="71"/>
      <c r="F40" s="45"/>
      <c r="G40" s="46"/>
      <c r="H40" s="46"/>
      <c r="I40" s="47" t="str">
        <f t="shared" si="3"/>
        <v/>
      </c>
      <c r="J40" s="46" t="str">
        <f t="shared" si="4"/>
        <v/>
      </c>
      <c r="K40" s="67" t="str">
        <f t="shared" si="5"/>
        <v/>
      </c>
      <c r="L40" s="66"/>
    </row>
    <row r="41" spans="2:12" x14ac:dyDescent="0.35">
      <c r="B41" s="68"/>
      <c r="C41" s="69"/>
      <c r="D41" s="69"/>
      <c r="E41" s="72"/>
      <c r="F41" s="50"/>
      <c r="G41" s="51"/>
      <c r="H41" s="51"/>
      <c r="I41" s="52" t="str">
        <f t="shared" si="3"/>
        <v/>
      </c>
      <c r="J41" s="51" t="str">
        <f t="shared" si="4"/>
        <v/>
      </c>
      <c r="K41" s="70" t="str">
        <f t="shared" si="5"/>
        <v/>
      </c>
      <c r="L41" s="69"/>
    </row>
    <row r="42" spans="2:12" x14ac:dyDescent="0.35">
      <c r="B42" s="65"/>
      <c r="C42" s="66"/>
      <c r="D42" s="66"/>
      <c r="E42" s="71"/>
      <c r="F42" s="45"/>
      <c r="G42" s="46"/>
      <c r="H42" s="46"/>
      <c r="I42" s="47" t="str">
        <f t="shared" si="3"/>
        <v/>
      </c>
      <c r="J42" s="46" t="str">
        <f t="shared" si="4"/>
        <v/>
      </c>
      <c r="K42" s="67" t="str">
        <f t="shared" si="5"/>
        <v/>
      </c>
      <c r="L42" s="66"/>
    </row>
    <row r="43" spans="2:12" x14ac:dyDescent="0.35">
      <c r="B43" s="68"/>
      <c r="C43" s="69"/>
      <c r="D43" s="69"/>
      <c r="E43" s="72"/>
      <c r="F43" s="50"/>
      <c r="G43" s="51"/>
      <c r="H43" s="51"/>
      <c r="I43" s="52" t="str">
        <f t="shared" si="3"/>
        <v/>
      </c>
      <c r="J43" s="51" t="str">
        <f t="shared" si="4"/>
        <v/>
      </c>
      <c r="K43" s="70" t="str">
        <f t="shared" si="5"/>
        <v/>
      </c>
      <c r="L43" s="69"/>
    </row>
    <row r="44" spans="2:12" x14ac:dyDescent="0.35">
      <c r="B44" s="65"/>
      <c r="C44" s="66"/>
      <c r="D44" s="66"/>
      <c r="E44" s="71"/>
      <c r="F44" s="45"/>
      <c r="G44" s="46"/>
      <c r="H44" s="46"/>
      <c r="I44" s="47" t="str">
        <f t="shared" si="3"/>
        <v/>
      </c>
      <c r="J44" s="46" t="str">
        <f t="shared" si="4"/>
        <v/>
      </c>
      <c r="K44" s="67" t="str">
        <f t="shared" si="5"/>
        <v/>
      </c>
      <c r="L44" s="66"/>
    </row>
    <row r="45" spans="2:12" x14ac:dyDescent="0.35">
      <c r="B45" s="68"/>
      <c r="C45" s="69"/>
      <c r="D45" s="69"/>
      <c r="E45" s="72"/>
      <c r="F45" s="50"/>
      <c r="G45" s="51"/>
      <c r="H45" s="51"/>
      <c r="I45" s="52" t="str">
        <f t="shared" si="3"/>
        <v/>
      </c>
      <c r="J45" s="51" t="str">
        <f t="shared" si="4"/>
        <v/>
      </c>
      <c r="K45" s="70" t="str">
        <f t="shared" si="5"/>
        <v/>
      </c>
      <c r="L45" s="69"/>
    </row>
    <row r="46" spans="2:12" x14ac:dyDescent="0.35">
      <c r="B46" s="65"/>
      <c r="C46" s="66"/>
      <c r="D46" s="66"/>
      <c r="E46" s="71"/>
      <c r="F46" s="45"/>
      <c r="G46" s="46"/>
      <c r="H46" s="46"/>
      <c r="I46" s="47" t="str">
        <f t="shared" si="3"/>
        <v/>
      </c>
      <c r="J46" s="46" t="str">
        <f t="shared" si="4"/>
        <v/>
      </c>
      <c r="K46" s="67" t="str">
        <f t="shared" si="5"/>
        <v/>
      </c>
      <c r="L46" s="66"/>
    </row>
    <row r="47" spans="2:12" x14ac:dyDescent="0.35">
      <c r="B47" s="68"/>
      <c r="C47" s="69"/>
      <c r="D47" s="69"/>
      <c r="E47" s="72"/>
      <c r="F47" s="50"/>
      <c r="G47" s="51"/>
      <c r="H47" s="51"/>
      <c r="I47" s="52" t="str">
        <f t="shared" si="3"/>
        <v/>
      </c>
      <c r="J47" s="51" t="str">
        <f t="shared" si="4"/>
        <v/>
      </c>
      <c r="K47" s="70" t="str">
        <f t="shared" si="5"/>
        <v/>
      </c>
      <c r="L47" s="69"/>
    </row>
    <row r="48" spans="2:12" x14ac:dyDescent="0.35">
      <c r="B48" s="65"/>
      <c r="C48" s="66"/>
      <c r="D48" s="66"/>
      <c r="E48" s="71"/>
      <c r="F48" s="45"/>
      <c r="G48" s="46"/>
      <c r="H48" s="46"/>
      <c r="I48" s="47" t="str">
        <f t="shared" si="3"/>
        <v/>
      </c>
      <c r="J48" s="46" t="str">
        <f t="shared" si="4"/>
        <v/>
      </c>
      <c r="K48" s="67" t="str">
        <f t="shared" si="5"/>
        <v/>
      </c>
      <c r="L48" s="66"/>
    </row>
    <row r="49" spans="2:12" x14ac:dyDescent="0.35">
      <c r="B49" s="68"/>
      <c r="C49" s="69"/>
      <c r="D49" s="69"/>
      <c r="E49" s="72"/>
      <c r="F49" s="50"/>
      <c r="G49" s="51"/>
      <c r="H49" s="51"/>
      <c r="I49" s="52" t="str">
        <f t="shared" si="3"/>
        <v/>
      </c>
      <c r="J49" s="51" t="str">
        <f t="shared" si="4"/>
        <v/>
      </c>
      <c r="K49" s="70" t="str">
        <f t="shared" si="5"/>
        <v/>
      </c>
      <c r="L49" s="69"/>
    </row>
    <row r="50" spans="2:12" x14ac:dyDescent="0.35">
      <c r="B50" s="65"/>
      <c r="C50" s="66"/>
      <c r="D50" s="66"/>
      <c r="E50" s="71"/>
      <c r="F50" s="45"/>
      <c r="G50" s="46"/>
      <c r="H50" s="46"/>
      <c r="I50" s="47" t="str">
        <f t="shared" si="3"/>
        <v/>
      </c>
      <c r="J50" s="46" t="str">
        <f t="shared" si="4"/>
        <v/>
      </c>
      <c r="K50" s="67" t="str">
        <f t="shared" si="5"/>
        <v/>
      </c>
      <c r="L50" s="66"/>
    </row>
    <row r="52" spans="2:12" ht="26" customHeight="1" x14ac:dyDescent="0.35">
      <c r="B52" s="77" t="s">
        <v>57</v>
      </c>
      <c r="C52" s="76"/>
      <c r="D52" s="76"/>
      <c r="E52" s="76"/>
      <c r="F52" s="76"/>
      <c r="G52" s="76"/>
      <c r="H52" s="76"/>
      <c r="I52" s="76"/>
      <c r="J52" s="76"/>
      <c r="K52" s="76"/>
      <c r="L52" s="76"/>
    </row>
    <row r="53" spans="2:12" ht="32" customHeight="1" x14ac:dyDescent="0.35">
      <c r="B53" s="42" t="s">
        <v>21</v>
      </c>
      <c r="C53" s="42" t="s">
        <v>58</v>
      </c>
      <c r="D53" s="42" t="s">
        <v>59</v>
      </c>
      <c r="E53" s="42" t="s">
        <v>60</v>
      </c>
      <c r="F53" s="42"/>
      <c r="G53" s="42"/>
      <c r="H53" s="42"/>
      <c r="I53" s="42" t="s">
        <v>61</v>
      </c>
      <c r="J53" s="42" t="s">
        <v>62</v>
      </c>
      <c r="K53" s="42" t="s">
        <v>63</v>
      </c>
      <c r="L53" s="42" t="s">
        <v>5</v>
      </c>
    </row>
    <row r="54" spans="2:12" ht="26" x14ac:dyDescent="0.35">
      <c r="B54" s="65">
        <v>46232</v>
      </c>
      <c r="C54" s="66" t="s">
        <v>160</v>
      </c>
      <c r="D54" s="66" t="s">
        <v>161</v>
      </c>
      <c r="E54" s="71">
        <v>4</v>
      </c>
      <c r="F54" s="73"/>
      <c r="G54" s="73"/>
      <c r="H54" s="73">
        <v>524</v>
      </c>
      <c r="I54" s="46" t="s">
        <v>162</v>
      </c>
      <c r="J54" s="73" t="s">
        <v>163</v>
      </c>
      <c r="K54" s="73"/>
      <c r="L54" s="66" t="s">
        <v>164</v>
      </c>
    </row>
    <row r="55" spans="2:12" ht="26" x14ac:dyDescent="0.35">
      <c r="B55" s="68">
        <v>46232</v>
      </c>
      <c r="C55" s="69" t="s">
        <v>165</v>
      </c>
      <c r="D55" s="69" t="s">
        <v>166</v>
      </c>
      <c r="E55" s="72">
        <v>4</v>
      </c>
      <c r="F55" s="74"/>
      <c r="G55" s="74"/>
      <c r="H55" s="74">
        <v>52</v>
      </c>
      <c r="I55" s="51" t="s">
        <v>162</v>
      </c>
      <c r="J55" s="74" t="s">
        <v>167</v>
      </c>
      <c r="K55" s="74"/>
      <c r="L55" s="69" t="s">
        <v>168</v>
      </c>
    </row>
    <row r="56" spans="2:12" ht="26" x14ac:dyDescent="0.35">
      <c r="B56" s="65">
        <v>46233</v>
      </c>
      <c r="C56" s="66" t="s">
        <v>169</v>
      </c>
      <c r="D56" s="66" t="s">
        <v>170</v>
      </c>
      <c r="E56" s="71">
        <v>4</v>
      </c>
      <c r="F56" s="73"/>
      <c r="G56" s="73"/>
      <c r="H56" s="73">
        <v>280.75</v>
      </c>
      <c r="I56" s="46" t="s">
        <v>162</v>
      </c>
      <c r="J56" s="73" t="s">
        <v>163</v>
      </c>
      <c r="K56" s="73"/>
      <c r="L56" s="66"/>
    </row>
    <row r="57" spans="2:12" x14ac:dyDescent="0.35">
      <c r="B57" s="68">
        <v>46233</v>
      </c>
      <c r="C57" s="69" t="s">
        <v>171</v>
      </c>
      <c r="D57" s="69" t="s">
        <v>172</v>
      </c>
      <c r="E57" s="72">
        <v>4</v>
      </c>
      <c r="F57" s="74"/>
      <c r="G57" s="74"/>
      <c r="H57" s="74">
        <v>237.44</v>
      </c>
      <c r="I57" s="51" t="s">
        <v>162</v>
      </c>
      <c r="J57" s="74" t="s">
        <v>167</v>
      </c>
      <c r="K57" s="74"/>
      <c r="L57" s="69" t="s">
        <v>173</v>
      </c>
    </row>
    <row r="58" spans="2:12" x14ac:dyDescent="0.35">
      <c r="B58" s="65">
        <v>46234</v>
      </c>
      <c r="C58" s="66" t="s">
        <v>174</v>
      </c>
      <c r="D58" s="66" t="s">
        <v>172</v>
      </c>
      <c r="E58" s="71">
        <v>4</v>
      </c>
      <c r="F58" s="73"/>
      <c r="G58" s="73"/>
      <c r="H58" s="73">
        <v>23.95</v>
      </c>
      <c r="I58" s="46" t="s">
        <v>162</v>
      </c>
      <c r="J58" s="73" t="s">
        <v>175</v>
      </c>
      <c r="K58" s="73"/>
      <c r="L58" s="66" t="s">
        <v>176</v>
      </c>
    </row>
    <row r="59" spans="2:12" ht="26" x14ac:dyDescent="0.35">
      <c r="B59" s="68">
        <v>46237</v>
      </c>
      <c r="C59" s="69" t="s">
        <v>177</v>
      </c>
      <c r="D59" s="69" t="s">
        <v>166</v>
      </c>
      <c r="E59" s="72">
        <v>4</v>
      </c>
      <c r="F59" s="74"/>
      <c r="G59" s="74"/>
      <c r="H59" s="74">
        <v>600</v>
      </c>
      <c r="I59" s="51" t="s">
        <v>162</v>
      </c>
      <c r="J59" s="74" t="s">
        <v>178</v>
      </c>
      <c r="K59" s="74"/>
      <c r="L59" s="69" t="s">
        <v>179</v>
      </c>
    </row>
    <row r="60" spans="2:12" x14ac:dyDescent="0.35">
      <c r="B60" s="65">
        <v>46239</v>
      </c>
      <c r="C60" s="66" t="s">
        <v>180</v>
      </c>
      <c r="D60" s="66" t="s">
        <v>170</v>
      </c>
      <c r="E60" s="71">
        <v>4</v>
      </c>
      <c r="F60" s="73"/>
      <c r="G60" s="73"/>
      <c r="H60" s="73">
        <v>174.08</v>
      </c>
      <c r="I60" s="46" t="s">
        <v>162</v>
      </c>
      <c r="J60" s="73" t="s">
        <v>181</v>
      </c>
      <c r="K60" s="73"/>
      <c r="L60" s="66" t="s">
        <v>182</v>
      </c>
    </row>
    <row r="61" spans="2:12" x14ac:dyDescent="0.35">
      <c r="B61" s="68">
        <v>46240</v>
      </c>
      <c r="C61" s="69" t="s">
        <v>183</v>
      </c>
      <c r="D61" s="69" t="s">
        <v>170</v>
      </c>
      <c r="E61" s="72">
        <v>4</v>
      </c>
      <c r="F61" s="74"/>
      <c r="G61" s="74"/>
      <c r="H61" s="74">
        <v>40.68</v>
      </c>
      <c r="I61" s="51" t="s">
        <v>162</v>
      </c>
      <c r="J61" s="74" t="s">
        <v>181</v>
      </c>
      <c r="K61" s="74"/>
      <c r="L61" s="69"/>
    </row>
    <row r="62" spans="2:12" x14ac:dyDescent="0.35">
      <c r="B62" s="65"/>
      <c r="C62" s="66"/>
      <c r="D62" s="66"/>
      <c r="E62" s="71"/>
      <c r="F62" s="73"/>
      <c r="G62" s="73"/>
      <c r="H62" s="73"/>
      <c r="I62" s="46"/>
      <c r="J62" s="73"/>
      <c r="K62" s="73"/>
      <c r="L62" s="66"/>
    </row>
    <row r="63" spans="2:12" x14ac:dyDescent="0.35">
      <c r="B63" s="68"/>
      <c r="C63" s="69"/>
      <c r="D63" s="69"/>
      <c r="E63" s="72"/>
      <c r="F63" s="74"/>
      <c r="G63" s="74"/>
      <c r="H63" s="74"/>
      <c r="I63" s="51"/>
      <c r="J63" s="74"/>
      <c r="K63" s="74"/>
      <c r="L63" s="69"/>
    </row>
    <row r="64" spans="2:12" x14ac:dyDescent="0.35">
      <c r="B64" s="65"/>
      <c r="C64" s="66"/>
      <c r="D64" s="66"/>
      <c r="E64" s="71"/>
      <c r="F64" s="73"/>
      <c r="G64" s="73"/>
      <c r="H64" s="73"/>
      <c r="I64" s="46"/>
      <c r="J64" s="73"/>
      <c r="K64" s="73"/>
      <c r="L64" s="66"/>
    </row>
    <row r="65" spans="2:12" x14ac:dyDescent="0.35">
      <c r="B65" s="68"/>
      <c r="C65" s="69"/>
      <c r="D65" s="69"/>
      <c r="E65" s="72"/>
      <c r="F65" s="74"/>
      <c r="G65" s="74"/>
      <c r="H65" s="74"/>
      <c r="I65" s="51"/>
      <c r="J65" s="74"/>
      <c r="K65" s="74"/>
      <c r="L65" s="69"/>
    </row>
    <row r="66" spans="2:12" x14ac:dyDescent="0.35">
      <c r="B66" s="65"/>
      <c r="C66" s="66"/>
      <c r="D66" s="66"/>
      <c r="E66" s="71"/>
      <c r="F66" s="73"/>
      <c r="G66" s="73"/>
      <c r="H66" s="73"/>
      <c r="I66" s="46"/>
      <c r="J66" s="73"/>
      <c r="K66" s="73"/>
      <c r="L66" s="66"/>
    </row>
    <row r="67" spans="2:12" x14ac:dyDescent="0.35">
      <c r="B67" s="68"/>
      <c r="C67" s="69"/>
      <c r="D67" s="69"/>
      <c r="E67" s="72"/>
      <c r="F67" s="74"/>
      <c r="G67" s="74"/>
      <c r="H67" s="74"/>
      <c r="I67" s="51"/>
      <c r="J67" s="74"/>
      <c r="K67" s="74"/>
      <c r="L67" s="69"/>
    </row>
    <row r="68" spans="2:12" x14ac:dyDescent="0.35">
      <c r="B68" s="65"/>
      <c r="C68" s="66"/>
      <c r="D68" s="66"/>
      <c r="E68" s="71"/>
      <c r="F68" s="73"/>
      <c r="G68" s="73"/>
      <c r="H68" s="73"/>
      <c r="I68" s="46"/>
      <c r="J68" s="73"/>
      <c r="K68" s="73"/>
      <c r="L68" s="66"/>
    </row>
  </sheetData>
  <mergeCells count="31">
    <mergeCell ref="B52:L52"/>
    <mergeCell ref="B11:C11"/>
    <mergeCell ref="E10:F10"/>
    <mergeCell ref="B2:L2"/>
    <mergeCell ref="B14:C14"/>
    <mergeCell ref="E13:F13"/>
    <mergeCell ref="B8:C8"/>
    <mergeCell ref="B13:C13"/>
    <mergeCell ref="H11:I11"/>
    <mergeCell ref="H7:I7"/>
    <mergeCell ref="B10:C10"/>
    <mergeCell ref="E11:F11"/>
    <mergeCell ref="B34:L34"/>
    <mergeCell ref="F4:H4"/>
    <mergeCell ref="J8:L8"/>
    <mergeCell ref="H13:I13"/>
    <mergeCell ref="B7:C7"/>
    <mergeCell ref="B16:L16"/>
    <mergeCell ref="H10:I10"/>
    <mergeCell ref="J4:L4"/>
    <mergeCell ref="E14:F14"/>
    <mergeCell ref="E8:F8"/>
    <mergeCell ref="J11:L11"/>
    <mergeCell ref="J7:L7"/>
    <mergeCell ref="H14:I14"/>
    <mergeCell ref="J14:L14"/>
    <mergeCell ref="B6:L6"/>
    <mergeCell ref="J10:L10"/>
    <mergeCell ref="E7:F7"/>
    <mergeCell ref="J13:L13"/>
    <mergeCell ref="H8:I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L68"/>
  <sheetViews>
    <sheetView showGridLines="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2" customWidth="1"/>
    <col min="2" max="2" width="13" customWidth="1"/>
    <col min="3" max="4" width="22" customWidth="1"/>
    <col min="5" max="5" width="12" customWidth="1"/>
    <col min="6" max="6" width="11" customWidth="1"/>
    <col min="7" max="8" width="13" customWidth="1"/>
    <col min="9" max="9" width="11" customWidth="1"/>
    <col min="10" max="10" width="12" customWidth="1"/>
    <col min="11" max="11" width="9" customWidth="1"/>
    <col min="12" max="12" width="30" customWidth="1"/>
  </cols>
  <sheetData>
    <row r="2" spans="2:12" ht="42" customHeight="1" x14ac:dyDescent="0.35">
      <c r="B2" s="82" t="s">
        <v>184</v>
      </c>
      <c r="C2" s="76"/>
      <c r="D2" s="76"/>
      <c r="E2" s="76"/>
      <c r="F2" s="76"/>
      <c r="G2" s="76"/>
      <c r="H2" s="76"/>
      <c r="I2" s="76"/>
      <c r="J2" s="76"/>
      <c r="K2" s="76"/>
      <c r="L2" s="76"/>
    </row>
    <row r="4" spans="2:12" ht="22" customHeight="1" x14ac:dyDescent="0.35">
      <c r="B4" s="63" t="s">
        <v>1</v>
      </c>
      <c r="C4" s="64" t="s">
        <v>185</v>
      </c>
      <c r="E4" s="63" t="s">
        <v>3</v>
      </c>
      <c r="F4" s="78" t="s">
        <v>186</v>
      </c>
      <c r="G4" s="76"/>
      <c r="H4" s="76"/>
      <c r="I4" s="63" t="s">
        <v>5</v>
      </c>
      <c r="J4" s="78" t="s">
        <v>187</v>
      </c>
      <c r="K4" s="76"/>
      <c r="L4" s="76"/>
    </row>
    <row r="6" spans="2:12" ht="26" customHeight="1" x14ac:dyDescent="0.35">
      <c r="B6" s="77" t="s">
        <v>7</v>
      </c>
      <c r="C6" s="76"/>
      <c r="D6" s="76"/>
      <c r="E6" s="76"/>
      <c r="F6" s="76"/>
      <c r="G6" s="76"/>
      <c r="H6" s="76"/>
      <c r="I6" s="76"/>
      <c r="J6" s="76"/>
      <c r="K6" s="76"/>
      <c r="L6" s="76"/>
    </row>
    <row r="7" spans="2:12" x14ac:dyDescent="0.35">
      <c r="B7" s="75" t="s">
        <v>8</v>
      </c>
      <c r="C7" s="76"/>
      <c r="E7" s="75" t="s">
        <v>9</v>
      </c>
      <c r="F7" s="76"/>
      <c r="H7" s="75" t="s">
        <v>10</v>
      </c>
      <c r="I7" s="76"/>
      <c r="J7" s="75" t="s">
        <v>11</v>
      </c>
      <c r="K7" s="76"/>
      <c r="L7" s="76"/>
    </row>
    <row r="8" spans="2:12" ht="28" customHeight="1" x14ac:dyDescent="0.35">
      <c r="B8" s="80">
        <f>SUM(G18:G32)+SUM(G36:G50)+SUM(H54:H68)</f>
        <v>1320</v>
      </c>
      <c r="C8" s="76"/>
      <c r="E8" s="80">
        <f>SUM(G18:G32)+SUM(G36:G50)</f>
        <v>0</v>
      </c>
      <c r="F8" s="76"/>
      <c r="H8" s="80">
        <f>SUM(H54:H68)</f>
        <v>1320</v>
      </c>
      <c r="I8" s="76"/>
      <c r="J8" s="83">
        <f>SUM(F18:F32)+SUM(F36:F50)</f>
        <v>0</v>
      </c>
      <c r="K8" s="76"/>
      <c r="L8" s="76"/>
    </row>
    <row r="10" spans="2:12" x14ac:dyDescent="0.35">
      <c r="B10" s="75" t="s">
        <v>12</v>
      </c>
      <c r="C10" s="76"/>
      <c r="E10" s="75" t="s">
        <v>13</v>
      </c>
      <c r="F10" s="76"/>
      <c r="H10" s="75" t="s">
        <v>14</v>
      </c>
      <c r="I10" s="76"/>
      <c r="J10" s="75" t="s">
        <v>15</v>
      </c>
      <c r="K10" s="76"/>
      <c r="L10" s="76"/>
    </row>
    <row r="11" spans="2:12" ht="28" customHeight="1" x14ac:dyDescent="0.35">
      <c r="B11" s="80">
        <f>SUM(H18:H32)+SUM(H36:H50)</f>
        <v>0</v>
      </c>
      <c r="C11" s="76"/>
      <c r="E11" s="80">
        <f>IFERROR((SUM(H18:H32)+SUM(H36:H50))-(SUM(G18:G32)+SUM(G36:G50)),0)</f>
        <v>0</v>
      </c>
      <c r="F11" s="76"/>
      <c r="H11" s="79">
        <f>IFERROR(E11/J8*100,0)</f>
        <v>0</v>
      </c>
      <c r="I11" s="76"/>
      <c r="J11" s="81">
        <f>IFERROR(E11/B11,0)</f>
        <v>0</v>
      </c>
      <c r="K11" s="76"/>
      <c r="L11" s="76"/>
    </row>
    <row r="13" spans="2:12" x14ac:dyDescent="0.35">
      <c r="B13" s="75" t="s">
        <v>16</v>
      </c>
      <c r="C13" s="76"/>
      <c r="E13" s="75" t="s">
        <v>17</v>
      </c>
      <c r="F13" s="76"/>
      <c r="H13" s="75" t="s">
        <v>18</v>
      </c>
      <c r="I13" s="76"/>
      <c r="J13" s="75" t="s">
        <v>19</v>
      </c>
      <c r="K13" s="76"/>
      <c r="L13" s="76"/>
    </row>
    <row r="14" spans="2:12" ht="28" customHeight="1" x14ac:dyDescent="0.35">
      <c r="B14" s="83">
        <f>SUM(F18:F32)</f>
        <v>0</v>
      </c>
      <c r="C14" s="76"/>
      <c r="E14" s="79">
        <f>IFERROR((SUM(H18:H32)-SUM(G18:G32))/SUM(F18:F32)*100,0)</f>
        <v>0</v>
      </c>
      <c r="F14" s="76"/>
      <c r="H14" s="83">
        <f>SUM(F36:F50)</f>
        <v>0</v>
      </c>
      <c r="I14" s="76"/>
      <c r="J14" s="79">
        <f>IFERROR((SUM(H36:H50)-SUM(G36:G50))/SUM(F36:F50)*100,0)</f>
        <v>0</v>
      </c>
      <c r="K14" s="76"/>
      <c r="L14" s="76"/>
    </row>
    <row r="16" spans="2:12" ht="26" customHeight="1" x14ac:dyDescent="0.35">
      <c r="B16" s="77" t="s">
        <v>20</v>
      </c>
      <c r="C16" s="76"/>
      <c r="D16" s="76"/>
      <c r="E16" s="76"/>
      <c r="F16" s="76"/>
      <c r="G16" s="76"/>
      <c r="H16" s="76"/>
      <c r="I16" s="76"/>
      <c r="J16" s="76"/>
      <c r="K16" s="76"/>
      <c r="L16" s="76"/>
    </row>
    <row r="17" spans="2:12" ht="32" customHeight="1" x14ac:dyDescent="0.35">
      <c r="B17" s="42" t="s">
        <v>21</v>
      </c>
      <c r="C17" s="42" t="s">
        <v>22</v>
      </c>
      <c r="D17" s="42" t="s">
        <v>23</v>
      </c>
      <c r="E17" s="42" t="s">
        <v>24</v>
      </c>
      <c r="F17" s="42" t="s">
        <v>25</v>
      </c>
      <c r="G17" s="42" t="s">
        <v>26</v>
      </c>
      <c r="H17" s="42" t="s">
        <v>27</v>
      </c>
      <c r="I17" s="42" t="s">
        <v>28</v>
      </c>
      <c r="J17" s="42" t="s">
        <v>29</v>
      </c>
      <c r="K17" s="42" t="s">
        <v>30</v>
      </c>
      <c r="L17" s="42" t="s">
        <v>5</v>
      </c>
    </row>
    <row r="18" spans="2:12" x14ac:dyDescent="0.35">
      <c r="B18" s="65"/>
      <c r="C18" s="66"/>
      <c r="D18" s="66"/>
      <c r="E18" s="66"/>
      <c r="F18" s="45"/>
      <c r="G18" s="46"/>
      <c r="H18" s="46"/>
      <c r="I18" s="47" t="str">
        <f t="shared" ref="I18:I32" si="0">IF(OR(F18="",F18=0,H18="",H18=0),"",(H18-G18)/F18*100)</f>
        <v/>
      </c>
      <c r="J18" s="46" t="str">
        <f t="shared" ref="J18:J32" si="1">IF(OR(H18="",H18=0),"",MAX(H18-G18,0))</f>
        <v/>
      </c>
      <c r="K18" s="67" t="str">
        <f t="shared" ref="K18:K32" si="2">IF(OR(H18="",H18=0),"",MAX((H18-G18)/H18,0))</f>
        <v/>
      </c>
      <c r="L18" s="66"/>
    </row>
    <row r="19" spans="2:12" x14ac:dyDescent="0.35">
      <c r="B19" s="68"/>
      <c r="C19" s="69"/>
      <c r="D19" s="69"/>
      <c r="E19" s="69"/>
      <c r="F19" s="50"/>
      <c r="G19" s="51"/>
      <c r="H19" s="51"/>
      <c r="I19" s="52" t="str">
        <f t="shared" si="0"/>
        <v/>
      </c>
      <c r="J19" s="51" t="str">
        <f t="shared" si="1"/>
        <v/>
      </c>
      <c r="K19" s="70" t="str">
        <f t="shared" si="2"/>
        <v/>
      </c>
      <c r="L19" s="69"/>
    </row>
    <row r="20" spans="2:12" x14ac:dyDescent="0.35">
      <c r="B20" s="65"/>
      <c r="C20" s="66"/>
      <c r="D20" s="66"/>
      <c r="E20" s="66"/>
      <c r="F20" s="45"/>
      <c r="G20" s="46"/>
      <c r="H20" s="46"/>
      <c r="I20" s="47" t="str">
        <f t="shared" si="0"/>
        <v/>
      </c>
      <c r="J20" s="46" t="str">
        <f t="shared" si="1"/>
        <v/>
      </c>
      <c r="K20" s="67" t="str">
        <f t="shared" si="2"/>
        <v/>
      </c>
      <c r="L20" s="66"/>
    </row>
    <row r="21" spans="2:12" x14ac:dyDescent="0.35">
      <c r="B21" s="68"/>
      <c r="C21" s="69"/>
      <c r="D21" s="69"/>
      <c r="E21" s="69"/>
      <c r="F21" s="50"/>
      <c r="G21" s="51"/>
      <c r="H21" s="51"/>
      <c r="I21" s="52" t="str">
        <f t="shared" si="0"/>
        <v/>
      </c>
      <c r="J21" s="51" t="str">
        <f t="shared" si="1"/>
        <v/>
      </c>
      <c r="K21" s="70" t="str">
        <f t="shared" si="2"/>
        <v/>
      </c>
      <c r="L21" s="69"/>
    </row>
    <row r="22" spans="2:12" x14ac:dyDescent="0.35">
      <c r="B22" s="65"/>
      <c r="C22" s="66"/>
      <c r="D22" s="66"/>
      <c r="E22" s="66"/>
      <c r="F22" s="45"/>
      <c r="G22" s="46"/>
      <c r="H22" s="46"/>
      <c r="I22" s="47" t="str">
        <f t="shared" si="0"/>
        <v/>
      </c>
      <c r="J22" s="46" t="str">
        <f t="shared" si="1"/>
        <v/>
      </c>
      <c r="K22" s="67" t="str">
        <f t="shared" si="2"/>
        <v/>
      </c>
      <c r="L22" s="66"/>
    </row>
    <row r="23" spans="2:12" x14ac:dyDescent="0.35">
      <c r="B23" s="68"/>
      <c r="C23" s="69"/>
      <c r="D23" s="69"/>
      <c r="E23" s="69"/>
      <c r="F23" s="50"/>
      <c r="G23" s="51"/>
      <c r="H23" s="51"/>
      <c r="I23" s="52" t="str">
        <f t="shared" si="0"/>
        <v/>
      </c>
      <c r="J23" s="51" t="str">
        <f t="shared" si="1"/>
        <v/>
      </c>
      <c r="K23" s="70" t="str">
        <f t="shared" si="2"/>
        <v/>
      </c>
      <c r="L23" s="69"/>
    </row>
    <row r="24" spans="2:12" x14ac:dyDescent="0.35">
      <c r="B24" s="65"/>
      <c r="C24" s="66"/>
      <c r="D24" s="66"/>
      <c r="E24" s="66"/>
      <c r="F24" s="45"/>
      <c r="G24" s="46"/>
      <c r="H24" s="46"/>
      <c r="I24" s="47" t="str">
        <f t="shared" si="0"/>
        <v/>
      </c>
      <c r="J24" s="46" t="str">
        <f t="shared" si="1"/>
        <v/>
      </c>
      <c r="K24" s="67" t="str">
        <f t="shared" si="2"/>
        <v/>
      </c>
      <c r="L24" s="66"/>
    </row>
    <row r="25" spans="2:12" x14ac:dyDescent="0.35">
      <c r="B25" s="68"/>
      <c r="C25" s="69"/>
      <c r="D25" s="69"/>
      <c r="E25" s="69"/>
      <c r="F25" s="50"/>
      <c r="G25" s="51"/>
      <c r="H25" s="51"/>
      <c r="I25" s="52" t="str">
        <f t="shared" si="0"/>
        <v/>
      </c>
      <c r="J25" s="51" t="str">
        <f t="shared" si="1"/>
        <v/>
      </c>
      <c r="K25" s="70" t="str">
        <f t="shared" si="2"/>
        <v/>
      </c>
      <c r="L25" s="69"/>
    </row>
    <row r="26" spans="2:12" x14ac:dyDescent="0.35">
      <c r="B26" s="65"/>
      <c r="C26" s="66"/>
      <c r="D26" s="66"/>
      <c r="E26" s="66"/>
      <c r="F26" s="45"/>
      <c r="G26" s="46"/>
      <c r="H26" s="46"/>
      <c r="I26" s="47" t="str">
        <f t="shared" si="0"/>
        <v/>
      </c>
      <c r="J26" s="46" t="str">
        <f t="shared" si="1"/>
        <v/>
      </c>
      <c r="K26" s="67" t="str">
        <f t="shared" si="2"/>
        <v/>
      </c>
      <c r="L26" s="66"/>
    </row>
    <row r="27" spans="2:12" x14ac:dyDescent="0.35">
      <c r="B27" s="68"/>
      <c r="C27" s="69"/>
      <c r="D27" s="69"/>
      <c r="E27" s="69"/>
      <c r="F27" s="50"/>
      <c r="G27" s="51"/>
      <c r="H27" s="51"/>
      <c r="I27" s="52" t="str">
        <f t="shared" si="0"/>
        <v/>
      </c>
      <c r="J27" s="51" t="str">
        <f t="shared" si="1"/>
        <v/>
      </c>
      <c r="K27" s="70" t="str">
        <f t="shared" si="2"/>
        <v/>
      </c>
      <c r="L27" s="69"/>
    </row>
    <row r="28" spans="2:12" x14ac:dyDescent="0.35">
      <c r="B28" s="65"/>
      <c r="C28" s="66"/>
      <c r="D28" s="66"/>
      <c r="E28" s="66"/>
      <c r="F28" s="45"/>
      <c r="G28" s="46"/>
      <c r="H28" s="46"/>
      <c r="I28" s="47" t="str">
        <f t="shared" si="0"/>
        <v/>
      </c>
      <c r="J28" s="46" t="str">
        <f t="shared" si="1"/>
        <v/>
      </c>
      <c r="K28" s="67" t="str">
        <f t="shared" si="2"/>
        <v/>
      </c>
      <c r="L28" s="66"/>
    </row>
    <row r="29" spans="2:12" x14ac:dyDescent="0.35">
      <c r="B29" s="68"/>
      <c r="C29" s="69"/>
      <c r="D29" s="69"/>
      <c r="E29" s="69"/>
      <c r="F29" s="50"/>
      <c r="G29" s="51"/>
      <c r="H29" s="51"/>
      <c r="I29" s="52" t="str">
        <f t="shared" si="0"/>
        <v/>
      </c>
      <c r="J29" s="51" t="str">
        <f t="shared" si="1"/>
        <v/>
      </c>
      <c r="K29" s="70" t="str">
        <f t="shared" si="2"/>
        <v/>
      </c>
      <c r="L29" s="69"/>
    </row>
    <row r="30" spans="2:12" x14ac:dyDescent="0.35">
      <c r="B30" s="65"/>
      <c r="C30" s="66"/>
      <c r="D30" s="66"/>
      <c r="E30" s="66"/>
      <c r="F30" s="45"/>
      <c r="G30" s="46"/>
      <c r="H30" s="46"/>
      <c r="I30" s="47" t="str">
        <f t="shared" si="0"/>
        <v/>
      </c>
      <c r="J30" s="46" t="str">
        <f t="shared" si="1"/>
        <v/>
      </c>
      <c r="K30" s="67" t="str">
        <f t="shared" si="2"/>
        <v/>
      </c>
      <c r="L30" s="66"/>
    </row>
    <row r="31" spans="2:12" x14ac:dyDescent="0.35">
      <c r="B31" s="68"/>
      <c r="C31" s="69"/>
      <c r="D31" s="69"/>
      <c r="E31" s="69"/>
      <c r="F31" s="50"/>
      <c r="G31" s="51"/>
      <c r="H31" s="51"/>
      <c r="I31" s="52" t="str">
        <f t="shared" si="0"/>
        <v/>
      </c>
      <c r="J31" s="51" t="str">
        <f t="shared" si="1"/>
        <v/>
      </c>
      <c r="K31" s="70" t="str">
        <f t="shared" si="2"/>
        <v/>
      </c>
      <c r="L31" s="69"/>
    </row>
    <row r="32" spans="2:12" x14ac:dyDescent="0.35">
      <c r="B32" s="65"/>
      <c r="C32" s="66"/>
      <c r="D32" s="66"/>
      <c r="E32" s="66"/>
      <c r="F32" s="45"/>
      <c r="G32" s="46"/>
      <c r="H32" s="46"/>
      <c r="I32" s="47" t="str">
        <f t="shared" si="0"/>
        <v/>
      </c>
      <c r="J32" s="46" t="str">
        <f t="shared" si="1"/>
        <v/>
      </c>
      <c r="K32" s="67" t="str">
        <f t="shared" si="2"/>
        <v/>
      </c>
      <c r="L32" s="66"/>
    </row>
    <row r="34" spans="2:12" ht="26" customHeight="1" x14ac:dyDescent="0.35">
      <c r="B34" s="77" t="s">
        <v>44</v>
      </c>
      <c r="C34" s="76"/>
      <c r="D34" s="76"/>
      <c r="E34" s="76"/>
      <c r="F34" s="76"/>
      <c r="G34" s="76"/>
      <c r="H34" s="76"/>
      <c r="I34" s="76"/>
      <c r="J34" s="76"/>
      <c r="K34" s="76"/>
      <c r="L34" s="76"/>
    </row>
    <row r="35" spans="2:12" ht="32" customHeight="1" x14ac:dyDescent="0.35">
      <c r="B35" s="42" t="s">
        <v>45</v>
      </c>
      <c r="C35" s="42" t="s">
        <v>46</v>
      </c>
      <c r="D35" s="42" t="s">
        <v>47</v>
      </c>
      <c r="E35" s="42" t="s">
        <v>48</v>
      </c>
      <c r="F35" s="42" t="s">
        <v>25</v>
      </c>
      <c r="G35" s="42" t="s">
        <v>26</v>
      </c>
      <c r="H35" s="42" t="s">
        <v>27</v>
      </c>
      <c r="I35" s="42" t="s">
        <v>28</v>
      </c>
      <c r="J35" s="42" t="s">
        <v>29</v>
      </c>
      <c r="K35" s="42" t="s">
        <v>30</v>
      </c>
      <c r="L35" s="42" t="s">
        <v>5</v>
      </c>
    </row>
    <row r="36" spans="2:12" x14ac:dyDescent="0.35">
      <c r="B36" s="65"/>
      <c r="C36" s="66"/>
      <c r="D36" s="66"/>
      <c r="E36" s="71"/>
      <c r="F36" s="45"/>
      <c r="G36" s="46"/>
      <c r="H36" s="46"/>
      <c r="I36" s="47" t="str">
        <f t="shared" ref="I36:I50" si="3">IF(OR(F36="",F36=0,H36="",H36=0),"",(H36-G36)/F36*100)</f>
        <v/>
      </c>
      <c r="J36" s="46" t="str">
        <f t="shared" ref="J36:J50" si="4">IF(OR(H36="",H36=0),"",MAX(H36-G36,0))</f>
        <v/>
      </c>
      <c r="K36" s="67" t="str">
        <f t="shared" ref="K36:K50" si="5">IF(OR(H36="",H36=0),"",MAX((H36-G36)/H36,0))</f>
        <v/>
      </c>
      <c r="L36" s="66"/>
    </row>
    <row r="37" spans="2:12" x14ac:dyDescent="0.35">
      <c r="B37" s="68"/>
      <c r="C37" s="69"/>
      <c r="D37" s="69"/>
      <c r="E37" s="72"/>
      <c r="F37" s="50"/>
      <c r="G37" s="51"/>
      <c r="H37" s="51"/>
      <c r="I37" s="52" t="str">
        <f t="shared" si="3"/>
        <v/>
      </c>
      <c r="J37" s="51" t="str">
        <f t="shared" si="4"/>
        <v/>
      </c>
      <c r="K37" s="70" t="str">
        <f t="shared" si="5"/>
        <v/>
      </c>
      <c r="L37" s="69"/>
    </row>
    <row r="38" spans="2:12" x14ac:dyDescent="0.35">
      <c r="B38" s="65"/>
      <c r="C38" s="66"/>
      <c r="D38" s="66"/>
      <c r="E38" s="71"/>
      <c r="F38" s="45"/>
      <c r="G38" s="46"/>
      <c r="H38" s="46"/>
      <c r="I38" s="47" t="str">
        <f t="shared" si="3"/>
        <v/>
      </c>
      <c r="J38" s="46" t="str">
        <f t="shared" si="4"/>
        <v/>
      </c>
      <c r="K38" s="67" t="str">
        <f t="shared" si="5"/>
        <v/>
      </c>
      <c r="L38" s="66"/>
    </row>
    <row r="39" spans="2:12" x14ac:dyDescent="0.35">
      <c r="B39" s="68"/>
      <c r="C39" s="69"/>
      <c r="D39" s="69"/>
      <c r="E39" s="72"/>
      <c r="F39" s="50"/>
      <c r="G39" s="51"/>
      <c r="H39" s="51"/>
      <c r="I39" s="52" t="str">
        <f t="shared" si="3"/>
        <v/>
      </c>
      <c r="J39" s="51" t="str">
        <f t="shared" si="4"/>
        <v/>
      </c>
      <c r="K39" s="70" t="str">
        <f t="shared" si="5"/>
        <v/>
      </c>
      <c r="L39" s="69"/>
    </row>
    <row r="40" spans="2:12" x14ac:dyDescent="0.35">
      <c r="B40" s="65"/>
      <c r="C40" s="66"/>
      <c r="D40" s="66"/>
      <c r="E40" s="71"/>
      <c r="F40" s="45"/>
      <c r="G40" s="46"/>
      <c r="H40" s="46"/>
      <c r="I40" s="47" t="str">
        <f t="shared" si="3"/>
        <v/>
      </c>
      <c r="J40" s="46" t="str">
        <f t="shared" si="4"/>
        <v/>
      </c>
      <c r="K40" s="67" t="str">
        <f t="shared" si="5"/>
        <v/>
      </c>
      <c r="L40" s="66"/>
    </row>
    <row r="41" spans="2:12" x14ac:dyDescent="0.35">
      <c r="B41" s="68"/>
      <c r="C41" s="69"/>
      <c r="D41" s="69"/>
      <c r="E41" s="72"/>
      <c r="F41" s="50"/>
      <c r="G41" s="51"/>
      <c r="H41" s="51"/>
      <c r="I41" s="52" t="str">
        <f t="shared" si="3"/>
        <v/>
      </c>
      <c r="J41" s="51" t="str">
        <f t="shared" si="4"/>
        <v/>
      </c>
      <c r="K41" s="70" t="str">
        <f t="shared" si="5"/>
        <v/>
      </c>
      <c r="L41" s="69"/>
    </row>
    <row r="42" spans="2:12" x14ac:dyDescent="0.35">
      <c r="B42" s="65"/>
      <c r="C42" s="66"/>
      <c r="D42" s="66"/>
      <c r="E42" s="71"/>
      <c r="F42" s="45"/>
      <c r="G42" s="46"/>
      <c r="H42" s="46"/>
      <c r="I42" s="47" t="str">
        <f t="shared" si="3"/>
        <v/>
      </c>
      <c r="J42" s="46" t="str">
        <f t="shared" si="4"/>
        <v/>
      </c>
      <c r="K42" s="67" t="str">
        <f t="shared" si="5"/>
        <v/>
      </c>
      <c r="L42" s="66"/>
    </row>
    <row r="43" spans="2:12" x14ac:dyDescent="0.35">
      <c r="B43" s="68"/>
      <c r="C43" s="69"/>
      <c r="D43" s="69"/>
      <c r="E43" s="72"/>
      <c r="F43" s="50"/>
      <c r="G43" s="51"/>
      <c r="H43" s="51"/>
      <c r="I43" s="52" t="str">
        <f t="shared" si="3"/>
        <v/>
      </c>
      <c r="J43" s="51" t="str">
        <f t="shared" si="4"/>
        <v/>
      </c>
      <c r="K43" s="70" t="str">
        <f t="shared" si="5"/>
        <v/>
      </c>
      <c r="L43" s="69"/>
    </row>
    <row r="44" spans="2:12" x14ac:dyDescent="0.35">
      <c r="B44" s="65"/>
      <c r="C44" s="66"/>
      <c r="D44" s="66"/>
      <c r="E44" s="71"/>
      <c r="F44" s="45"/>
      <c r="G44" s="46"/>
      <c r="H44" s="46"/>
      <c r="I44" s="47" t="str">
        <f t="shared" si="3"/>
        <v/>
      </c>
      <c r="J44" s="46" t="str">
        <f t="shared" si="4"/>
        <v/>
      </c>
      <c r="K44" s="67" t="str">
        <f t="shared" si="5"/>
        <v/>
      </c>
      <c r="L44" s="66"/>
    </row>
    <row r="45" spans="2:12" x14ac:dyDescent="0.35">
      <c r="B45" s="68"/>
      <c r="C45" s="69"/>
      <c r="D45" s="69"/>
      <c r="E45" s="72"/>
      <c r="F45" s="50"/>
      <c r="G45" s="51"/>
      <c r="H45" s="51"/>
      <c r="I45" s="52" t="str">
        <f t="shared" si="3"/>
        <v/>
      </c>
      <c r="J45" s="51" t="str">
        <f t="shared" si="4"/>
        <v/>
      </c>
      <c r="K45" s="70" t="str">
        <f t="shared" si="5"/>
        <v/>
      </c>
      <c r="L45" s="69"/>
    </row>
    <row r="46" spans="2:12" x14ac:dyDescent="0.35">
      <c r="B46" s="65"/>
      <c r="C46" s="66"/>
      <c r="D46" s="66"/>
      <c r="E46" s="71"/>
      <c r="F46" s="45"/>
      <c r="G46" s="46"/>
      <c r="H46" s="46"/>
      <c r="I46" s="47" t="str">
        <f t="shared" si="3"/>
        <v/>
      </c>
      <c r="J46" s="46" t="str">
        <f t="shared" si="4"/>
        <v/>
      </c>
      <c r="K46" s="67" t="str">
        <f t="shared" si="5"/>
        <v/>
      </c>
      <c r="L46" s="66"/>
    </row>
    <row r="47" spans="2:12" x14ac:dyDescent="0.35">
      <c r="B47" s="68"/>
      <c r="C47" s="69"/>
      <c r="D47" s="69"/>
      <c r="E47" s="72"/>
      <c r="F47" s="50"/>
      <c r="G47" s="51"/>
      <c r="H47" s="51"/>
      <c r="I47" s="52" t="str">
        <f t="shared" si="3"/>
        <v/>
      </c>
      <c r="J47" s="51" t="str">
        <f t="shared" si="4"/>
        <v/>
      </c>
      <c r="K47" s="70" t="str">
        <f t="shared" si="5"/>
        <v/>
      </c>
      <c r="L47" s="69"/>
    </row>
    <row r="48" spans="2:12" x14ac:dyDescent="0.35">
      <c r="B48" s="65"/>
      <c r="C48" s="66"/>
      <c r="D48" s="66"/>
      <c r="E48" s="71"/>
      <c r="F48" s="45"/>
      <c r="G48" s="46"/>
      <c r="H48" s="46"/>
      <c r="I48" s="47" t="str">
        <f t="shared" si="3"/>
        <v/>
      </c>
      <c r="J48" s="46" t="str">
        <f t="shared" si="4"/>
        <v/>
      </c>
      <c r="K48" s="67" t="str">
        <f t="shared" si="5"/>
        <v/>
      </c>
      <c r="L48" s="66"/>
    </row>
    <row r="49" spans="2:12" x14ac:dyDescent="0.35">
      <c r="B49" s="68"/>
      <c r="C49" s="69"/>
      <c r="D49" s="69"/>
      <c r="E49" s="72"/>
      <c r="F49" s="50"/>
      <c r="G49" s="51"/>
      <c r="H49" s="51"/>
      <c r="I49" s="52" t="str">
        <f t="shared" si="3"/>
        <v/>
      </c>
      <c r="J49" s="51" t="str">
        <f t="shared" si="4"/>
        <v/>
      </c>
      <c r="K49" s="70" t="str">
        <f t="shared" si="5"/>
        <v/>
      </c>
      <c r="L49" s="69"/>
    </row>
    <row r="50" spans="2:12" x14ac:dyDescent="0.35">
      <c r="B50" s="65"/>
      <c r="C50" s="66"/>
      <c r="D50" s="66"/>
      <c r="E50" s="71"/>
      <c r="F50" s="45"/>
      <c r="G50" s="46"/>
      <c r="H50" s="46"/>
      <c r="I50" s="47" t="str">
        <f t="shared" si="3"/>
        <v/>
      </c>
      <c r="J50" s="46" t="str">
        <f t="shared" si="4"/>
        <v/>
      </c>
      <c r="K50" s="67" t="str">
        <f t="shared" si="5"/>
        <v/>
      </c>
      <c r="L50" s="66"/>
    </row>
    <row r="52" spans="2:12" ht="26" customHeight="1" x14ac:dyDescent="0.35">
      <c r="B52" s="77" t="s">
        <v>57</v>
      </c>
      <c r="C52" s="76"/>
      <c r="D52" s="76"/>
      <c r="E52" s="76"/>
      <c r="F52" s="76"/>
      <c r="G52" s="76"/>
      <c r="H52" s="76"/>
      <c r="I52" s="76"/>
      <c r="J52" s="76"/>
      <c r="K52" s="76"/>
      <c r="L52" s="76"/>
    </row>
    <row r="53" spans="2:12" ht="32" customHeight="1" x14ac:dyDescent="0.35">
      <c r="B53" s="42" t="s">
        <v>21</v>
      </c>
      <c r="C53" s="42" t="s">
        <v>58</v>
      </c>
      <c r="D53" s="42" t="s">
        <v>59</v>
      </c>
      <c r="E53" s="42" t="s">
        <v>60</v>
      </c>
      <c r="F53" s="42"/>
      <c r="G53" s="42"/>
      <c r="H53" s="42"/>
      <c r="I53" s="42" t="s">
        <v>61</v>
      </c>
      <c r="J53" s="42" t="s">
        <v>62</v>
      </c>
      <c r="K53" s="42" t="s">
        <v>63</v>
      </c>
      <c r="L53" s="42" t="s">
        <v>5</v>
      </c>
    </row>
    <row r="54" spans="2:12" x14ac:dyDescent="0.35">
      <c r="B54" s="65">
        <v>46426</v>
      </c>
      <c r="C54" s="66" t="s">
        <v>188</v>
      </c>
      <c r="D54" s="66" t="s">
        <v>166</v>
      </c>
      <c r="E54" s="71">
        <v>4</v>
      </c>
      <c r="F54" s="73"/>
      <c r="G54" s="73"/>
      <c r="H54" s="73">
        <v>180</v>
      </c>
      <c r="I54" s="46" t="s">
        <v>162</v>
      </c>
      <c r="J54" s="73" t="s">
        <v>181</v>
      </c>
      <c r="K54" s="73"/>
      <c r="L54" s="66" t="s">
        <v>189</v>
      </c>
    </row>
    <row r="55" spans="2:12" x14ac:dyDescent="0.35">
      <c r="B55" s="68">
        <v>46428</v>
      </c>
      <c r="C55" s="69" t="s">
        <v>190</v>
      </c>
      <c r="D55" s="69" t="s">
        <v>172</v>
      </c>
      <c r="E55" s="72">
        <v>4</v>
      </c>
      <c r="F55" s="74"/>
      <c r="G55" s="74"/>
      <c r="H55" s="74">
        <v>240</v>
      </c>
      <c r="I55" s="51" t="s">
        <v>162</v>
      </c>
      <c r="J55" s="74" t="s">
        <v>167</v>
      </c>
      <c r="K55" s="74"/>
      <c r="L55" s="69" t="s">
        <v>191</v>
      </c>
    </row>
    <row r="56" spans="2:12" x14ac:dyDescent="0.35">
      <c r="B56" s="65">
        <v>46434</v>
      </c>
      <c r="C56" s="66" t="s">
        <v>192</v>
      </c>
      <c r="D56" s="66" t="s">
        <v>166</v>
      </c>
      <c r="E56" s="71">
        <v>4</v>
      </c>
      <c r="F56" s="73"/>
      <c r="G56" s="73"/>
      <c r="H56" s="73">
        <v>360</v>
      </c>
      <c r="I56" s="46" t="s">
        <v>162</v>
      </c>
      <c r="J56" s="73" t="s">
        <v>181</v>
      </c>
      <c r="K56" s="73"/>
      <c r="L56" s="66" t="s">
        <v>193</v>
      </c>
    </row>
    <row r="57" spans="2:12" ht="26" x14ac:dyDescent="0.35">
      <c r="B57" s="68">
        <v>46435</v>
      </c>
      <c r="C57" s="69" t="s">
        <v>194</v>
      </c>
      <c r="D57" s="69" t="s">
        <v>195</v>
      </c>
      <c r="E57" s="72">
        <v>4</v>
      </c>
      <c r="F57" s="74"/>
      <c r="G57" s="74"/>
      <c r="H57" s="74">
        <v>540</v>
      </c>
      <c r="I57" s="51" t="s">
        <v>162</v>
      </c>
      <c r="J57" s="74" t="s">
        <v>196</v>
      </c>
      <c r="K57" s="74"/>
      <c r="L57" s="69" t="s">
        <v>197</v>
      </c>
    </row>
    <row r="58" spans="2:12" x14ac:dyDescent="0.35">
      <c r="B58" s="65"/>
      <c r="C58" s="66"/>
      <c r="D58" s="66"/>
      <c r="E58" s="71"/>
      <c r="F58" s="73"/>
      <c r="G58" s="73"/>
      <c r="H58" s="73"/>
      <c r="I58" s="46"/>
      <c r="J58" s="73"/>
      <c r="K58" s="73"/>
      <c r="L58" s="66"/>
    </row>
    <row r="59" spans="2:12" x14ac:dyDescent="0.35">
      <c r="B59" s="68"/>
      <c r="C59" s="69"/>
      <c r="D59" s="69"/>
      <c r="E59" s="72"/>
      <c r="F59" s="74"/>
      <c r="G59" s="74"/>
      <c r="H59" s="74"/>
      <c r="I59" s="51"/>
      <c r="J59" s="74"/>
      <c r="K59" s="74"/>
      <c r="L59" s="69"/>
    </row>
    <row r="60" spans="2:12" x14ac:dyDescent="0.35">
      <c r="B60" s="65"/>
      <c r="C60" s="66"/>
      <c r="D60" s="66"/>
      <c r="E60" s="71"/>
      <c r="F60" s="73"/>
      <c r="G60" s="73"/>
      <c r="H60" s="73"/>
      <c r="I60" s="46"/>
      <c r="J60" s="73"/>
      <c r="K60" s="73"/>
      <c r="L60" s="66"/>
    </row>
    <row r="61" spans="2:12" x14ac:dyDescent="0.35">
      <c r="B61" s="68"/>
      <c r="C61" s="69"/>
      <c r="D61" s="69"/>
      <c r="E61" s="72"/>
      <c r="F61" s="74"/>
      <c r="G61" s="74"/>
      <c r="H61" s="74"/>
      <c r="I61" s="51"/>
      <c r="J61" s="74"/>
      <c r="K61" s="74"/>
      <c r="L61" s="69"/>
    </row>
    <row r="62" spans="2:12" x14ac:dyDescent="0.35">
      <c r="B62" s="65"/>
      <c r="C62" s="66"/>
      <c r="D62" s="66"/>
      <c r="E62" s="71"/>
      <c r="F62" s="73"/>
      <c r="G62" s="73"/>
      <c r="H62" s="73"/>
      <c r="I62" s="46"/>
      <c r="J62" s="73"/>
      <c r="K62" s="73"/>
      <c r="L62" s="66"/>
    </row>
    <row r="63" spans="2:12" x14ac:dyDescent="0.35">
      <c r="B63" s="68"/>
      <c r="C63" s="69"/>
      <c r="D63" s="69"/>
      <c r="E63" s="72"/>
      <c r="F63" s="74"/>
      <c r="G63" s="74"/>
      <c r="H63" s="74"/>
      <c r="I63" s="51"/>
      <c r="J63" s="74"/>
      <c r="K63" s="74"/>
      <c r="L63" s="69"/>
    </row>
    <row r="64" spans="2:12" x14ac:dyDescent="0.35">
      <c r="B64" s="65"/>
      <c r="C64" s="66"/>
      <c r="D64" s="66"/>
      <c r="E64" s="71"/>
      <c r="F64" s="73"/>
      <c r="G64" s="73"/>
      <c r="H64" s="73"/>
      <c r="I64" s="46"/>
      <c r="J64" s="73"/>
      <c r="K64" s="73"/>
      <c r="L64" s="66"/>
    </row>
    <row r="65" spans="2:12" x14ac:dyDescent="0.35">
      <c r="B65" s="68"/>
      <c r="C65" s="69"/>
      <c r="D65" s="69"/>
      <c r="E65" s="72"/>
      <c r="F65" s="74"/>
      <c r="G65" s="74"/>
      <c r="H65" s="74"/>
      <c r="I65" s="51"/>
      <c r="J65" s="74"/>
      <c r="K65" s="74"/>
      <c r="L65" s="69"/>
    </row>
    <row r="66" spans="2:12" x14ac:dyDescent="0.35">
      <c r="B66" s="65"/>
      <c r="C66" s="66"/>
      <c r="D66" s="66"/>
      <c r="E66" s="71"/>
      <c r="F66" s="73"/>
      <c r="G66" s="73"/>
      <c r="H66" s="73"/>
      <c r="I66" s="46"/>
      <c r="J66" s="73"/>
      <c r="K66" s="73"/>
      <c r="L66" s="66"/>
    </row>
    <row r="67" spans="2:12" x14ac:dyDescent="0.35">
      <c r="B67" s="68"/>
      <c r="C67" s="69"/>
      <c r="D67" s="69"/>
      <c r="E67" s="72"/>
      <c r="F67" s="74"/>
      <c r="G67" s="74"/>
      <c r="H67" s="74"/>
      <c r="I67" s="51"/>
      <c r="J67" s="74"/>
      <c r="K67" s="74"/>
      <c r="L67" s="69"/>
    </row>
    <row r="68" spans="2:12" x14ac:dyDescent="0.35">
      <c r="B68" s="65"/>
      <c r="C68" s="66"/>
      <c r="D68" s="66"/>
      <c r="E68" s="71"/>
      <c r="F68" s="73"/>
      <c r="G68" s="73"/>
      <c r="H68" s="73"/>
      <c r="I68" s="46"/>
      <c r="J68" s="73"/>
      <c r="K68" s="73"/>
      <c r="L68" s="66"/>
    </row>
  </sheetData>
  <mergeCells count="31">
    <mergeCell ref="B52:L52"/>
    <mergeCell ref="B11:C11"/>
    <mergeCell ref="E10:F10"/>
    <mergeCell ref="B2:L2"/>
    <mergeCell ref="B14:C14"/>
    <mergeCell ref="E13:F13"/>
    <mergeCell ref="B8:C8"/>
    <mergeCell ref="B13:C13"/>
    <mergeCell ref="H11:I11"/>
    <mergeCell ref="H7:I7"/>
    <mergeCell ref="B10:C10"/>
    <mergeCell ref="E11:F11"/>
    <mergeCell ref="B34:L34"/>
    <mergeCell ref="F4:H4"/>
    <mergeCell ref="J8:L8"/>
    <mergeCell ref="H13:I13"/>
    <mergeCell ref="B7:C7"/>
    <mergeCell ref="B16:L16"/>
    <mergeCell ref="H10:I10"/>
    <mergeCell ref="J4:L4"/>
    <mergeCell ref="E14:F14"/>
    <mergeCell ref="E8:F8"/>
    <mergeCell ref="J11:L11"/>
    <mergeCell ref="J7:L7"/>
    <mergeCell ref="H14:I14"/>
    <mergeCell ref="J14:L14"/>
    <mergeCell ref="B6:L6"/>
    <mergeCell ref="J10:L10"/>
    <mergeCell ref="E7:F7"/>
    <mergeCell ref="J13:L13"/>
    <mergeCell ref="H8:I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M100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O34" sqref="O34"/>
    </sheetView>
  </sheetViews>
  <sheetFormatPr defaultColWidth="14.453125" defaultRowHeight="15" customHeight="1" x14ac:dyDescent="0.35"/>
  <cols>
    <col min="1" max="1" width="2" customWidth="1"/>
    <col min="2" max="2" width="26" customWidth="1"/>
    <col min="3" max="3" width="12" customWidth="1"/>
    <col min="4" max="4" width="14" customWidth="1"/>
    <col min="5" max="5" width="11" customWidth="1"/>
    <col min="6" max="7" width="13" customWidth="1"/>
    <col min="8" max="8" width="11" customWidth="1"/>
    <col min="9" max="11" width="13" customWidth="1"/>
    <col min="12" max="12" width="14" customWidth="1"/>
    <col min="13" max="13" width="30" customWidth="1"/>
  </cols>
  <sheetData>
    <row r="2" spans="2:13" ht="25" customHeight="1" x14ac:dyDescent="0.35">
      <c r="B2" s="1" t="s">
        <v>198</v>
      </c>
    </row>
    <row r="3" spans="2:13" ht="14.5" customHeight="1" x14ac:dyDescent="0.35">
      <c r="B3" s="2" t="s">
        <v>199</v>
      </c>
    </row>
    <row r="5" spans="2:13" ht="26" customHeight="1" x14ac:dyDescent="0.35">
      <c r="B5" s="10" t="s">
        <v>200</v>
      </c>
      <c r="C5" s="10" t="s">
        <v>201</v>
      </c>
      <c r="D5" s="10" t="s">
        <v>202</v>
      </c>
      <c r="E5" s="10" t="s">
        <v>203</v>
      </c>
      <c r="F5" s="10" t="s">
        <v>204</v>
      </c>
      <c r="G5" s="10" t="s">
        <v>205</v>
      </c>
      <c r="H5" s="10" t="s">
        <v>206</v>
      </c>
      <c r="I5" s="10" t="s">
        <v>207</v>
      </c>
      <c r="J5" s="10" t="s">
        <v>208</v>
      </c>
      <c r="K5" s="10" t="s">
        <v>209</v>
      </c>
      <c r="L5" s="10" t="s">
        <v>210</v>
      </c>
      <c r="M5" s="10" t="s">
        <v>5</v>
      </c>
    </row>
    <row r="6" spans="2:13" ht="14.5" customHeight="1" x14ac:dyDescent="0.35">
      <c r="B6" s="16" t="s">
        <v>211</v>
      </c>
      <c r="C6" s="11">
        <v>44941</v>
      </c>
      <c r="D6" s="12" t="s">
        <v>212</v>
      </c>
      <c r="E6" s="17" t="s">
        <v>297</v>
      </c>
      <c r="F6" s="14"/>
      <c r="G6" s="17"/>
      <c r="H6" s="13" t="s">
        <v>213</v>
      </c>
      <c r="I6" s="17"/>
      <c r="J6" s="17">
        <v>1500</v>
      </c>
      <c r="K6" s="4" t="e">
        <f t="shared" ref="K6:K17" si="0">I6+J6-E6</f>
        <v>#VALUE!</v>
      </c>
      <c r="L6" s="7">
        <f t="shared" ref="L6:L30" si="1">IF(C6="","",EDATE(C6,12))</f>
        <v>45306</v>
      </c>
      <c r="M6" s="12" t="s">
        <v>214</v>
      </c>
    </row>
    <row r="7" spans="2:13" ht="14.5" customHeight="1" x14ac:dyDescent="0.35">
      <c r="B7" s="16" t="s">
        <v>215</v>
      </c>
      <c r="C7" s="11">
        <v>45170</v>
      </c>
      <c r="D7" s="12" t="s">
        <v>212</v>
      </c>
      <c r="E7" s="17">
        <v>695</v>
      </c>
      <c r="F7" s="14"/>
      <c r="G7" s="17"/>
      <c r="H7" s="13" t="s">
        <v>213</v>
      </c>
      <c r="I7" s="17"/>
      <c r="J7" s="17">
        <v>1200</v>
      </c>
      <c r="K7" s="4">
        <f t="shared" si="0"/>
        <v>505</v>
      </c>
      <c r="L7" s="7">
        <f t="shared" si="1"/>
        <v>45536</v>
      </c>
      <c r="M7" s="12" t="s">
        <v>216</v>
      </c>
    </row>
    <row r="8" spans="2:13" ht="14.5" customHeight="1" x14ac:dyDescent="0.35">
      <c r="B8" s="16" t="s">
        <v>217</v>
      </c>
      <c r="C8" s="11">
        <v>45383</v>
      </c>
      <c r="D8" s="12" t="s">
        <v>212</v>
      </c>
      <c r="E8" s="17" t="s">
        <v>297</v>
      </c>
      <c r="F8" s="14"/>
      <c r="G8" s="17"/>
      <c r="H8" s="13" t="s">
        <v>213</v>
      </c>
      <c r="I8" s="17"/>
      <c r="J8" s="17">
        <v>800</v>
      </c>
      <c r="K8" s="4" t="e">
        <f t="shared" si="0"/>
        <v>#VALUE!</v>
      </c>
      <c r="L8" s="7">
        <f t="shared" si="1"/>
        <v>45748</v>
      </c>
      <c r="M8" s="12" t="s">
        <v>218</v>
      </c>
    </row>
    <row r="9" spans="2:13" ht="14.5" customHeight="1" x14ac:dyDescent="0.35">
      <c r="B9" s="16" t="s">
        <v>219</v>
      </c>
      <c r="C9" s="11">
        <v>44986</v>
      </c>
      <c r="D9" s="12" t="s">
        <v>212</v>
      </c>
      <c r="E9" s="17">
        <v>375</v>
      </c>
      <c r="F9" s="14"/>
      <c r="G9" s="17"/>
      <c r="H9" s="13" t="s">
        <v>213</v>
      </c>
      <c r="I9" s="17"/>
      <c r="J9" s="17">
        <v>240</v>
      </c>
      <c r="K9" s="4">
        <f t="shared" si="0"/>
        <v>-135</v>
      </c>
      <c r="L9" s="7">
        <f t="shared" si="1"/>
        <v>45352</v>
      </c>
      <c r="M9" s="12" t="s">
        <v>220</v>
      </c>
    </row>
    <row r="10" spans="2:13" ht="14.5" customHeight="1" x14ac:dyDescent="0.35">
      <c r="B10" s="16" t="s">
        <v>221</v>
      </c>
      <c r="C10" s="11">
        <v>45292</v>
      </c>
      <c r="D10" s="12" t="s">
        <v>212</v>
      </c>
      <c r="E10" s="17" t="s">
        <v>297</v>
      </c>
      <c r="F10" s="14"/>
      <c r="G10" s="17"/>
      <c r="H10" s="13" t="s">
        <v>213</v>
      </c>
      <c r="I10" s="17"/>
      <c r="J10" s="17">
        <v>240</v>
      </c>
      <c r="K10" s="4" t="e">
        <f t="shared" si="0"/>
        <v>#VALUE!</v>
      </c>
      <c r="L10" s="7">
        <f t="shared" si="1"/>
        <v>45658</v>
      </c>
      <c r="M10" s="12" t="s">
        <v>222</v>
      </c>
    </row>
    <row r="11" spans="2:13" ht="14.5" customHeight="1" x14ac:dyDescent="0.35">
      <c r="B11" s="16" t="s">
        <v>223</v>
      </c>
      <c r="C11" s="11">
        <v>44713</v>
      </c>
      <c r="D11" s="12" t="s">
        <v>212</v>
      </c>
      <c r="E11" s="17">
        <v>0</v>
      </c>
      <c r="F11" s="14"/>
      <c r="G11" s="17"/>
      <c r="H11" s="13" t="s">
        <v>213</v>
      </c>
      <c r="I11" s="17"/>
      <c r="J11" s="17">
        <v>0</v>
      </c>
      <c r="K11" s="4">
        <f t="shared" si="0"/>
        <v>0</v>
      </c>
      <c r="L11" s="7">
        <f t="shared" si="1"/>
        <v>45078</v>
      </c>
      <c r="M11" s="12" t="s">
        <v>224</v>
      </c>
    </row>
    <row r="12" spans="2:13" ht="14.5" customHeight="1" x14ac:dyDescent="0.35">
      <c r="B12" s="16" t="s">
        <v>225</v>
      </c>
      <c r="C12" s="11">
        <v>45505</v>
      </c>
      <c r="D12" s="12" t="s">
        <v>212</v>
      </c>
      <c r="E12" s="17">
        <v>0</v>
      </c>
      <c r="F12" s="14"/>
      <c r="G12" s="17"/>
      <c r="H12" s="13" t="s">
        <v>213</v>
      </c>
      <c r="I12" s="17"/>
      <c r="J12" s="17">
        <v>0</v>
      </c>
      <c r="K12" s="4">
        <f t="shared" si="0"/>
        <v>0</v>
      </c>
      <c r="L12" s="7">
        <f t="shared" si="1"/>
        <v>45870</v>
      </c>
      <c r="M12" s="12" t="s">
        <v>226</v>
      </c>
    </row>
    <row r="13" spans="2:13" ht="14.5" customHeight="1" x14ac:dyDescent="0.35">
      <c r="B13" s="16" t="s">
        <v>227</v>
      </c>
      <c r="C13" s="11">
        <v>44927</v>
      </c>
      <c r="D13" s="12" t="s">
        <v>228</v>
      </c>
      <c r="E13" s="17">
        <v>795</v>
      </c>
      <c r="F13" s="14"/>
      <c r="G13" s="17"/>
      <c r="H13" s="13" t="s">
        <v>213</v>
      </c>
      <c r="I13" s="17"/>
      <c r="J13" s="17">
        <v>300</v>
      </c>
      <c r="K13" s="4">
        <f t="shared" si="0"/>
        <v>-495</v>
      </c>
      <c r="L13" s="7">
        <f t="shared" si="1"/>
        <v>45292</v>
      </c>
      <c r="M13" s="12" t="s">
        <v>229</v>
      </c>
    </row>
    <row r="14" spans="2:13" ht="14.5" customHeight="1" x14ac:dyDescent="0.35">
      <c r="B14" s="16" t="s">
        <v>230</v>
      </c>
      <c r="C14" s="11">
        <v>44713</v>
      </c>
      <c r="D14" s="12" t="s">
        <v>228</v>
      </c>
      <c r="E14" s="17">
        <v>95</v>
      </c>
      <c r="F14" s="14"/>
      <c r="G14" s="17"/>
      <c r="H14" s="13" t="s">
        <v>213</v>
      </c>
      <c r="I14" s="17"/>
      <c r="J14" s="17">
        <v>50</v>
      </c>
      <c r="K14" s="4">
        <f t="shared" si="0"/>
        <v>-45</v>
      </c>
      <c r="L14" s="7">
        <f t="shared" si="1"/>
        <v>45078</v>
      </c>
      <c r="M14" s="12" t="s">
        <v>231</v>
      </c>
    </row>
    <row r="15" spans="2:13" ht="14.5" customHeight="1" x14ac:dyDescent="0.35">
      <c r="B15" s="16" t="s">
        <v>232</v>
      </c>
      <c r="C15" s="11">
        <v>45658</v>
      </c>
      <c r="D15" s="12" t="s">
        <v>233</v>
      </c>
      <c r="E15" s="17">
        <v>395</v>
      </c>
      <c r="F15" s="14"/>
      <c r="G15" s="17"/>
      <c r="H15" s="13" t="s">
        <v>213</v>
      </c>
      <c r="I15" s="17"/>
      <c r="J15" s="17">
        <v>700</v>
      </c>
      <c r="K15" s="4">
        <f t="shared" si="0"/>
        <v>305</v>
      </c>
      <c r="L15" s="7">
        <f t="shared" si="1"/>
        <v>46023</v>
      </c>
      <c r="M15" s="12" t="s">
        <v>234</v>
      </c>
    </row>
    <row r="16" spans="2:13" ht="14.5" customHeight="1" x14ac:dyDescent="0.35">
      <c r="B16" s="16" t="s">
        <v>235</v>
      </c>
      <c r="C16" s="11">
        <v>45352</v>
      </c>
      <c r="D16" s="12" t="s">
        <v>233</v>
      </c>
      <c r="E16" s="17">
        <v>150</v>
      </c>
      <c r="F16" s="14"/>
      <c r="G16" s="17"/>
      <c r="H16" s="13" t="s">
        <v>236</v>
      </c>
      <c r="I16" s="17"/>
      <c r="J16" s="17">
        <v>0</v>
      </c>
      <c r="K16" s="4">
        <f t="shared" si="0"/>
        <v>-150</v>
      </c>
      <c r="L16" s="7">
        <f t="shared" si="1"/>
        <v>45717</v>
      </c>
      <c r="M16" s="12" t="s">
        <v>237</v>
      </c>
    </row>
    <row r="17" spans="2:13" ht="14.5" customHeight="1" x14ac:dyDescent="0.35">
      <c r="B17" s="16" t="s">
        <v>238</v>
      </c>
      <c r="C17" s="11">
        <v>46054</v>
      </c>
      <c r="D17" s="12" t="s">
        <v>239</v>
      </c>
      <c r="E17" s="17">
        <v>495</v>
      </c>
      <c r="F17" s="14"/>
      <c r="G17" s="17"/>
      <c r="H17" s="13" t="s">
        <v>213</v>
      </c>
      <c r="I17" s="17"/>
      <c r="J17" s="17">
        <v>0</v>
      </c>
      <c r="K17" s="4">
        <f t="shared" si="0"/>
        <v>-495</v>
      </c>
      <c r="L17" s="7">
        <f t="shared" si="1"/>
        <v>46419</v>
      </c>
      <c r="M17" s="12" t="s">
        <v>240</v>
      </c>
    </row>
    <row r="18" spans="2:13" ht="14.5" customHeight="1" x14ac:dyDescent="0.35">
      <c r="B18" s="12"/>
      <c r="C18" s="11"/>
      <c r="D18" s="12"/>
      <c r="E18" s="17"/>
      <c r="F18" s="14"/>
      <c r="G18" s="17"/>
      <c r="H18" s="13"/>
      <c r="I18" s="17"/>
      <c r="J18" s="17"/>
      <c r="K18" s="4" t="str">
        <f t="shared" ref="K18:K30" si="2">IF(I18="","",I18+J18-E18)</f>
        <v/>
      </c>
      <c r="L18" s="7" t="str">
        <f t="shared" si="1"/>
        <v/>
      </c>
      <c r="M18" s="12"/>
    </row>
    <row r="19" spans="2:13" ht="14.5" customHeight="1" x14ac:dyDescent="0.35">
      <c r="B19" s="12"/>
      <c r="C19" s="11"/>
      <c r="D19" s="12"/>
      <c r="E19" s="17"/>
      <c r="F19" s="14"/>
      <c r="G19" s="17"/>
      <c r="H19" s="13"/>
      <c r="I19" s="17"/>
      <c r="J19" s="17"/>
      <c r="K19" s="4" t="str">
        <f t="shared" si="2"/>
        <v/>
      </c>
      <c r="L19" s="7" t="str">
        <f t="shared" si="1"/>
        <v/>
      </c>
      <c r="M19" s="12"/>
    </row>
    <row r="20" spans="2:13" ht="14.5" customHeight="1" x14ac:dyDescent="0.35">
      <c r="B20" s="12"/>
      <c r="C20" s="11"/>
      <c r="D20" s="12"/>
      <c r="E20" s="17"/>
      <c r="F20" s="14"/>
      <c r="G20" s="17"/>
      <c r="H20" s="13"/>
      <c r="I20" s="17"/>
      <c r="J20" s="17"/>
      <c r="K20" s="4" t="str">
        <f t="shared" si="2"/>
        <v/>
      </c>
      <c r="L20" s="7" t="str">
        <f t="shared" si="1"/>
        <v/>
      </c>
      <c r="M20" s="12"/>
    </row>
    <row r="21" spans="2:13" ht="15.75" customHeight="1" x14ac:dyDescent="0.35">
      <c r="B21" s="12"/>
      <c r="C21" s="11"/>
      <c r="D21" s="12"/>
      <c r="E21" s="17"/>
      <c r="F21" s="14"/>
      <c r="G21" s="17"/>
      <c r="H21" s="13"/>
      <c r="I21" s="17"/>
      <c r="J21" s="17"/>
      <c r="K21" s="4" t="str">
        <f t="shared" si="2"/>
        <v/>
      </c>
      <c r="L21" s="7" t="str">
        <f t="shared" si="1"/>
        <v/>
      </c>
      <c r="M21" s="12"/>
    </row>
    <row r="22" spans="2:13" ht="15.75" customHeight="1" x14ac:dyDescent="0.35">
      <c r="B22" s="12"/>
      <c r="C22" s="11"/>
      <c r="D22" s="12"/>
      <c r="E22" s="17"/>
      <c r="F22" s="14"/>
      <c r="G22" s="17"/>
      <c r="H22" s="13"/>
      <c r="I22" s="17"/>
      <c r="J22" s="17"/>
      <c r="K22" s="4" t="str">
        <f t="shared" si="2"/>
        <v/>
      </c>
      <c r="L22" s="7" t="str">
        <f t="shared" si="1"/>
        <v/>
      </c>
      <c r="M22" s="12"/>
    </row>
    <row r="23" spans="2:13" ht="15.75" customHeight="1" x14ac:dyDescent="0.35">
      <c r="B23" s="12"/>
      <c r="C23" s="11"/>
      <c r="D23" s="12"/>
      <c r="E23" s="17"/>
      <c r="F23" s="14"/>
      <c r="G23" s="17"/>
      <c r="H23" s="13"/>
      <c r="I23" s="17"/>
      <c r="J23" s="17"/>
      <c r="K23" s="4" t="str">
        <f t="shared" si="2"/>
        <v/>
      </c>
      <c r="L23" s="7" t="str">
        <f t="shared" si="1"/>
        <v/>
      </c>
      <c r="M23" s="12"/>
    </row>
    <row r="24" spans="2:13" ht="15.75" customHeight="1" x14ac:dyDescent="0.35">
      <c r="B24" s="12"/>
      <c r="C24" s="11"/>
      <c r="D24" s="12"/>
      <c r="E24" s="17"/>
      <c r="F24" s="14"/>
      <c r="G24" s="17"/>
      <c r="H24" s="13"/>
      <c r="I24" s="17"/>
      <c r="J24" s="17"/>
      <c r="K24" s="4" t="str">
        <f t="shared" si="2"/>
        <v/>
      </c>
      <c r="L24" s="7" t="str">
        <f t="shared" si="1"/>
        <v/>
      </c>
      <c r="M24" s="12"/>
    </row>
    <row r="25" spans="2:13" ht="15.75" customHeight="1" x14ac:dyDescent="0.35">
      <c r="B25" s="12"/>
      <c r="C25" s="11"/>
      <c r="D25" s="12"/>
      <c r="E25" s="17"/>
      <c r="F25" s="14"/>
      <c r="G25" s="17"/>
      <c r="H25" s="13"/>
      <c r="I25" s="17"/>
      <c r="J25" s="17"/>
      <c r="K25" s="4" t="str">
        <f t="shared" si="2"/>
        <v/>
      </c>
      <c r="L25" s="7" t="str">
        <f t="shared" si="1"/>
        <v/>
      </c>
      <c r="M25" s="12"/>
    </row>
    <row r="26" spans="2:13" ht="15.75" customHeight="1" x14ac:dyDescent="0.35">
      <c r="B26" s="12"/>
      <c r="C26" s="11"/>
      <c r="D26" s="12"/>
      <c r="E26" s="17"/>
      <c r="F26" s="14"/>
      <c r="G26" s="17"/>
      <c r="H26" s="13"/>
      <c r="I26" s="17"/>
      <c r="J26" s="17"/>
      <c r="K26" s="4" t="str">
        <f t="shared" si="2"/>
        <v/>
      </c>
      <c r="L26" s="7" t="str">
        <f t="shared" si="1"/>
        <v/>
      </c>
      <c r="M26" s="12"/>
    </row>
    <row r="27" spans="2:13" ht="15.75" customHeight="1" x14ac:dyDescent="0.35">
      <c r="B27" s="12"/>
      <c r="C27" s="11"/>
      <c r="D27" s="12"/>
      <c r="E27" s="17"/>
      <c r="F27" s="14"/>
      <c r="G27" s="17"/>
      <c r="H27" s="13"/>
      <c r="I27" s="17"/>
      <c r="J27" s="17"/>
      <c r="K27" s="4" t="str">
        <f t="shared" si="2"/>
        <v/>
      </c>
      <c r="L27" s="7" t="str">
        <f t="shared" si="1"/>
        <v/>
      </c>
      <c r="M27" s="12"/>
    </row>
    <row r="28" spans="2:13" ht="15.75" customHeight="1" x14ac:dyDescent="0.35">
      <c r="B28" s="12"/>
      <c r="C28" s="11"/>
      <c r="D28" s="12"/>
      <c r="E28" s="17"/>
      <c r="F28" s="14"/>
      <c r="G28" s="17"/>
      <c r="H28" s="13"/>
      <c r="I28" s="17"/>
      <c r="J28" s="17"/>
      <c r="K28" s="4" t="str">
        <f t="shared" si="2"/>
        <v/>
      </c>
      <c r="L28" s="7" t="str">
        <f t="shared" si="1"/>
        <v/>
      </c>
      <c r="M28" s="12"/>
    </row>
    <row r="29" spans="2:13" ht="15.75" customHeight="1" x14ac:dyDescent="0.35">
      <c r="B29" s="12"/>
      <c r="C29" s="11"/>
      <c r="D29" s="12"/>
      <c r="E29" s="17"/>
      <c r="F29" s="14"/>
      <c r="G29" s="17"/>
      <c r="H29" s="13"/>
      <c r="I29" s="17"/>
      <c r="J29" s="17"/>
      <c r="K29" s="4" t="str">
        <f t="shared" si="2"/>
        <v/>
      </c>
      <c r="L29" s="7" t="str">
        <f t="shared" si="1"/>
        <v/>
      </c>
      <c r="M29" s="12"/>
    </row>
    <row r="30" spans="2:13" ht="15.75" customHeight="1" x14ac:dyDescent="0.35">
      <c r="B30" s="12"/>
      <c r="C30" s="11"/>
      <c r="D30" s="12"/>
      <c r="E30" s="17"/>
      <c r="F30" s="14"/>
      <c r="G30" s="17"/>
      <c r="H30" s="13"/>
      <c r="I30" s="17"/>
      <c r="J30" s="17"/>
      <c r="K30" s="4" t="str">
        <f t="shared" si="2"/>
        <v/>
      </c>
      <c r="L30" s="7" t="str">
        <f t="shared" si="1"/>
        <v/>
      </c>
      <c r="M30" s="12"/>
    </row>
    <row r="31" spans="2:13" ht="15" customHeight="1" x14ac:dyDescent="0.35">
      <c r="B31" s="88" t="s">
        <v>241</v>
      </c>
      <c r="C31" s="89"/>
      <c r="D31" s="90"/>
      <c r="E31" s="18">
        <f>SUM(E6:E30)</f>
        <v>3000</v>
      </c>
      <c r="F31" s="19">
        <f>SUM(F6:F30)</f>
        <v>0</v>
      </c>
      <c r="G31" s="18">
        <f>SUM(G6:G30)</f>
        <v>0</v>
      </c>
      <c r="H31" s="20"/>
      <c r="I31" s="18">
        <f>SUM(I6:I30)</f>
        <v>0</v>
      </c>
      <c r="J31" s="18">
        <f>SUM(J6:J30)</f>
        <v>5030</v>
      </c>
      <c r="K31" s="18" t="e">
        <f>SUM(K6:K30)</f>
        <v>#VALUE!</v>
      </c>
      <c r="L31" s="20"/>
      <c r="M31" s="20"/>
    </row>
    <row r="32" spans="2:13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</sheetData>
  <mergeCells count="1">
    <mergeCell ref="B31:D31"/>
  </mergeCells>
  <pageMargins left="0.75" right="0.75" top="1" bottom="1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N100"/>
  <sheetViews>
    <sheetView showGridLines="0" workbookViewId="0">
      <pane xSplit="1" ySplit="10" topLeftCell="B11" activePane="bottomRight" state="frozen"/>
      <selection pane="topRight" activeCell="B1" sqref="B1"/>
      <selection pane="bottomLeft" activeCell="A11" sqref="A11"/>
      <selection pane="bottomRight" activeCell="N18" sqref="N18"/>
    </sheetView>
  </sheetViews>
  <sheetFormatPr defaultColWidth="14.453125" defaultRowHeight="15" customHeight="1" x14ac:dyDescent="0.35"/>
  <cols>
    <col min="1" max="1" width="2" customWidth="1"/>
    <col min="2" max="2" width="12" customWidth="1"/>
    <col min="3" max="3" width="22" customWidth="1"/>
    <col min="4" max="4" width="16" customWidth="1"/>
    <col min="5" max="5" width="13" customWidth="1"/>
    <col min="6" max="6" width="11" customWidth="1"/>
    <col min="7" max="7" width="13" customWidth="1"/>
    <col min="8" max="8" width="11" customWidth="1"/>
    <col min="9" max="9" width="14" customWidth="1"/>
    <col min="10" max="12" width="13" customWidth="1"/>
    <col min="13" max="13" width="14" customWidth="1"/>
    <col min="14" max="14" width="30" customWidth="1"/>
  </cols>
  <sheetData>
    <row r="2" spans="2:14" ht="25" customHeight="1" x14ac:dyDescent="0.35">
      <c r="B2" s="1" t="s">
        <v>242</v>
      </c>
    </row>
    <row r="3" spans="2:14" ht="14.5" customHeight="1" x14ac:dyDescent="0.35">
      <c r="B3" s="2" t="s">
        <v>243</v>
      </c>
    </row>
    <row r="5" spans="2:14" ht="15" customHeight="1" x14ac:dyDescent="0.35">
      <c r="L5" s="88" t="s">
        <v>244</v>
      </c>
      <c r="M5" s="89"/>
      <c r="N5" s="90"/>
    </row>
    <row r="6" spans="2:14" ht="14.5" customHeight="1" x14ac:dyDescent="0.35">
      <c r="L6" s="3" t="s">
        <v>245</v>
      </c>
      <c r="M6" s="21">
        <v>1.8</v>
      </c>
    </row>
    <row r="7" spans="2:14" ht="26" customHeight="1" x14ac:dyDescent="0.35">
      <c r="L7" s="3" t="s">
        <v>246</v>
      </c>
      <c r="M7" s="22">
        <v>0.03</v>
      </c>
    </row>
    <row r="8" spans="2:14" ht="26" customHeight="1" x14ac:dyDescent="0.35">
      <c r="L8" s="3" t="s">
        <v>247</v>
      </c>
      <c r="M8" s="23" t="s">
        <v>248</v>
      </c>
    </row>
    <row r="10" spans="2:14" ht="26" customHeight="1" x14ac:dyDescent="0.35">
      <c r="B10" s="10" t="s">
        <v>21</v>
      </c>
      <c r="C10" s="10" t="s">
        <v>249</v>
      </c>
      <c r="D10" s="10" t="s">
        <v>63</v>
      </c>
      <c r="E10" s="10" t="s">
        <v>250</v>
      </c>
      <c r="F10" s="10" t="s">
        <v>251</v>
      </c>
      <c r="G10" s="10" t="s">
        <v>252</v>
      </c>
      <c r="H10" s="10" t="s">
        <v>253</v>
      </c>
      <c r="I10" s="10" t="s">
        <v>254</v>
      </c>
      <c r="J10" s="10" t="s">
        <v>255</v>
      </c>
      <c r="K10" s="10" t="s">
        <v>256</v>
      </c>
      <c r="L10" s="10" t="s">
        <v>257</v>
      </c>
      <c r="M10" s="10" t="s">
        <v>258</v>
      </c>
      <c r="N10" s="10" t="s">
        <v>5</v>
      </c>
    </row>
    <row r="11" spans="2:14" ht="14.5" customHeight="1" x14ac:dyDescent="0.35">
      <c r="B11" s="11">
        <v>46037</v>
      </c>
      <c r="C11" s="12" t="s">
        <v>259</v>
      </c>
      <c r="D11" s="12" t="s">
        <v>260</v>
      </c>
      <c r="E11" s="12" t="s">
        <v>261</v>
      </c>
      <c r="F11" s="13">
        <v>2</v>
      </c>
      <c r="G11" s="15">
        <v>1750</v>
      </c>
      <c r="H11" s="24">
        <v>0.03</v>
      </c>
      <c r="I11" s="9">
        <f>G11*H11</f>
        <v>52.5</v>
      </c>
      <c r="J11" s="5">
        <f>G11*F11</f>
        <v>3500</v>
      </c>
      <c r="K11" s="9">
        <f>J11*$M$6/100</f>
        <v>63</v>
      </c>
      <c r="L11" s="25">
        <f>K11-I11</f>
        <v>10.5</v>
      </c>
      <c r="M11" s="6">
        <f>IF(F11=0,"",H11/F11*100)</f>
        <v>1.5</v>
      </c>
      <c r="N11" s="12" t="s">
        <v>262</v>
      </c>
    </row>
    <row r="12" spans="2:14" ht="14.5" customHeight="1" x14ac:dyDescent="0.35">
      <c r="B12" s="11">
        <v>46068</v>
      </c>
      <c r="C12" s="12" t="s">
        <v>259</v>
      </c>
      <c r="D12" s="12" t="s">
        <v>260</v>
      </c>
      <c r="E12" s="12" t="s">
        <v>261</v>
      </c>
      <c r="F12" s="13">
        <v>2</v>
      </c>
      <c r="G12" s="15">
        <v>1750</v>
      </c>
      <c r="H12" s="24">
        <v>0.03</v>
      </c>
      <c r="I12" s="9">
        <f>G12*H12</f>
        <v>52.5</v>
      </c>
      <c r="J12" s="5">
        <f>G12*F12</f>
        <v>3500</v>
      </c>
      <c r="K12" s="9">
        <f>J12*$M$6/100</f>
        <v>63</v>
      </c>
      <c r="L12" s="25">
        <f>K12-I12</f>
        <v>10.5</v>
      </c>
      <c r="M12" s="6">
        <f>IF(F12=0,"",H12/F12*100)</f>
        <v>1.5</v>
      </c>
      <c r="N12" s="12" t="s">
        <v>262</v>
      </c>
    </row>
    <row r="13" spans="2:14" ht="14.5" customHeight="1" x14ac:dyDescent="0.35">
      <c r="B13" s="11">
        <v>46096</v>
      </c>
      <c r="C13" s="12" t="s">
        <v>259</v>
      </c>
      <c r="D13" s="12" t="s">
        <v>260</v>
      </c>
      <c r="E13" s="12" t="s">
        <v>261</v>
      </c>
      <c r="F13" s="13">
        <v>2</v>
      </c>
      <c r="G13" s="15">
        <v>1750</v>
      </c>
      <c r="H13" s="24">
        <v>0.03</v>
      </c>
      <c r="I13" s="9">
        <f>G13*H13</f>
        <v>52.5</v>
      </c>
      <c r="J13" s="5">
        <f>G13*F13</f>
        <v>3500</v>
      </c>
      <c r="K13" s="9">
        <f>J13*$M$6/100</f>
        <v>63</v>
      </c>
      <c r="L13" s="25">
        <f>K13-I13</f>
        <v>10.5</v>
      </c>
      <c r="M13" s="6">
        <f>IF(F13=0,"",H13/F13*100)</f>
        <v>1.5</v>
      </c>
      <c r="N13" s="12" t="s">
        <v>262</v>
      </c>
    </row>
    <row r="14" spans="2:14" ht="14.5" customHeight="1" x14ac:dyDescent="0.35">
      <c r="B14" s="11">
        <v>46127</v>
      </c>
      <c r="C14" s="12" t="s">
        <v>263</v>
      </c>
      <c r="D14" s="12" t="s">
        <v>264</v>
      </c>
      <c r="E14" s="12" t="s">
        <v>265</v>
      </c>
      <c r="F14" s="13">
        <v>2</v>
      </c>
      <c r="G14" s="15">
        <v>5000</v>
      </c>
      <c r="H14" s="24">
        <v>1.8700000000000001E-2</v>
      </c>
      <c r="I14" s="9">
        <f>G14*H14</f>
        <v>93.5</v>
      </c>
      <c r="J14" s="5">
        <f>G14*F14</f>
        <v>10000</v>
      </c>
      <c r="K14" s="9">
        <f>J14*$M$6/100</f>
        <v>180</v>
      </c>
      <c r="L14" s="25">
        <f>K14-I14</f>
        <v>86.5</v>
      </c>
      <c r="M14" s="6">
        <f>IF(F14=0,"",H14/F14*100)</f>
        <v>0.93500000000000005</v>
      </c>
      <c r="N14" s="12"/>
    </row>
    <row r="15" spans="2:14" ht="14.5" customHeight="1" x14ac:dyDescent="0.35">
      <c r="B15" s="11">
        <v>46127</v>
      </c>
      <c r="C15" s="12" t="s">
        <v>263</v>
      </c>
      <c r="D15" s="12" t="s">
        <v>264</v>
      </c>
      <c r="E15" s="12" t="s">
        <v>266</v>
      </c>
      <c r="F15" s="13">
        <v>2</v>
      </c>
      <c r="G15" s="15">
        <v>8000</v>
      </c>
      <c r="H15" s="24">
        <v>1.9E-2</v>
      </c>
      <c r="I15" s="9">
        <f>G15*H15</f>
        <v>152</v>
      </c>
      <c r="J15" s="5">
        <f>G15*F15</f>
        <v>16000</v>
      </c>
      <c r="K15" s="9">
        <f>J15*$M$6/100</f>
        <v>288</v>
      </c>
      <c r="L15" s="25">
        <f>K15-I15</f>
        <v>136</v>
      </c>
      <c r="M15" s="6">
        <f>IF(F15=0,"",H15/F15*100)</f>
        <v>0.95</v>
      </c>
      <c r="N15" s="12"/>
    </row>
    <row r="16" spans="2:14" ht="14.5" customHeight="1" x14ac:dyDescent="0.35">
      <c r="B16" s="11">
        <v>46127</v>
      </c>
      <c r="C16" s="12" t="s">
        <v>259</v>
      </c>
      <c r="D16" s="12" t="s">
        <v>260</v>
      </c>
      <c r="E16" s="12" t="s">
        <v>298</v>
      </c>
      <c r="F16" s="13">
        <v>2</v>
      </c>
      <c r="G16" s="15">
        <v>1750</v>
      </c>
      <c r="H16" s="24">
        <v>0.03</v>
      </c>
      <c r="I16" s="9">
        <f t="shared" ref="I16:I59" si="0">IF(G16="","",G16*H16)</f>
        <v>52.5</v>
      </c>
      <c r="J16" s="5">
        <f t="shared" ref="J16:J59" si="1">IF(G16="","",G16*F16)</f>
        <v>3500</v>
      </c>
      <c r="K16" s="9">
        <f t="shared" ref="K16:K59" si="2">IF(J16="","",J16*$M$6/100)</f>
        <v>63</v>
      </c>
      <c r="L16" s="25">
        <f t="shared" ref="L16:L59" si="3">IF(K16="","",K16-I16)</f>
        <v>10.5</v>
      </c>
      <c r="M16" s="6">
        <f t="shared" ref="M16:M59" si="4">IF(OR(F16="",F16=0),"",H16/F16*100)</f>
        <v>1.5</v>
      </c>
      <c r="N16" s="12" t="s">
        <v>262</v>
      </c>
    </row>
    <row r="17" spans="2:14" ht="14.5" customHeight="1" x14ac:dyDescent="0.35">
      <c r="B17" s="11"/>
      <c r="C17" s="12"/>
      <c r="D17" s="12"/>
      <c r="E17" s="12"/>
      <c r="F17" s="13"/>
      <c r="G17" s="15"/>
      <c r="H17" s="24"/>
      <c r="I17" s="9" t="str">
        <f t="shared" si="0"/>
        <v/>
      </c>
      <c r="J17" s="5" t="str">
        <f t="shared" si="1"/>
        <v/>
      </c>
      <c r="K17" s="9" t="str">
        <f t="shared" si="2"/>
        <v/>
      </c>
      <c r="L17" s="25" t="str">
        <f t="shared" si="3"/>
        <v/>
      </c>
      <c r="M17" s="6" t="str">
        <f t="shared" si="4"/>
        <v/>
      </c>
      <c r="N17" s="12"/>
    </row>
    <row r="18" spans="2:14" ht="14.5" customHeight="1" x14ac:dyDescent="0.35">
      <c r="B18" s="11"/>
      <c r="C18" s="12"/>
      <c r="D18" s="12"/>
      <c r="E18" s="12"/>
      <c r="F18" s="13"/>
      <c r="G18" s="15"/>
      <c r="H18" s="24"/>
      <c r="I18" s="9" t="str">
        <f t="shared" si="0"/>
        <v/>
      </c>
      <c r="J18" s="5" t="str">
        <f t="shared" si="1"/>
        <v/>
      </c>
      <c r="K18" s="9" t="str">
        <f t="shared" si="2"/>
        <v/>
      </c>
      <c r="L18" s="25" t="str">
        <f t="shared" si="3"/>
        <v/>
      </c>
      <c r="M18" s="6" t="str">
        <f t="shared" si="4"/>
        <v/>
      </c>
      <c r="N18" s="12"/>
    </row>
    <row r="19" spans="2:14" ht="14.5" customHeight="1" x14ac:dyDescent="0.35">
      <c r="B19" s="11"/>
      <c r="C19" s="12"/>
      <c r="D19" s="12"/>
      <c r="E19" s="12"/>
      <c r="F19" s="13"/>
      <c r="G19" s="15"/>
      <c r="H19" s="24"/>
      <c r="I19" s="9" t="str">
        <f t="shared" si="0"/>
        <v/>
      </c>
      <c r="J19" s="5" t="str">
        <f t="shared" si="1"/>
        <v/>
      </c>
      <c r="K19" s="9" t="str">
        <f t="shared" si="2"/>
        <v/>
      </c>
      <c r="L19" s="25" t="str">
        <f t="shared" si="3"/>
        <v/>
      </c>
      <c r="M19" s="6" t="str">
        <f t="shared" si="4"/>
        <v/>
      </c>
      <c r="N19" s="12"/>
    </row>
    <row r="20" spans="2:14" ht="14.5" customHeight="1" x14ac:dyDescent="0.35">
      <c r="B20" s="11"/>
      <c r="C20" s="12"/>
      <c r="D20" s="12"/>
      <c r="E20" s="12"/>
      <c r="F20" s="13"/>
      <c r="G20" s="15"/>
      <c r="H20" s="24"/>
      <c r="I20" s="9" t="str">
        <f t="shared" si="0"/>
        <v/>
      </c>
      <c r="J20" s="5" t="str">
        <f t="shared" si="1"/>
        <v/>
      </c>
      <c r="K20" s="9" t="str">
        <f t="shared" si="2"/>
        <v/>
      </c>
      <c r="L20" s="25" t="str">
        <f t="shared" si="3"/>
        <v/>
      </c>
      <c r="M20" s="6" t="str">
        <f t="shared" si="4"/>
        <v/>
      </c>
      <c r="N20" s="12"/>
    </row>
    <row r="21" spans="2:14" ht="15.75" customHeight="1" x14ac:dyDescent="0.35">
      <c r="B21" s="11"/>
      <c r="C21" s="12"/>
      <c r="D21" s="12"/>
      <c r="E21" s="12"/>
      <c r="F21" s="13"/>
      <c r="G21" s="15"/>
      <c r="H21" s="24"/>
      <c r="I21" s="9" t="str">
        <f t="shared" si="0"/>
        <v/>
      </c>
      <c r="J21" s="5" t="str">
        <f t="shared" si="1"/>
        <v/>
      </c>
      <c r="K21" s="9" t="str">
        <f t="shared" si="2"/>
        <v/>
      </c>
      <c r="L21" s="25" t="str">
        <f t="shared" si="3"/>
        <v/>
      </c>
      <c r="M21" s="6" t="str">
        <f t="shared" si="4"/>
        <v/>
      </c>
      <c r="N21" s="12"/>
    </row>
    <row r="22" spans="2:14" ht="15.75" customHeight="1" x14ac:dyDescent="0.35">
      <c r="B22" s="11"/>
      <c r="C22" s="12"/>
      <c r="D22" s="12"/>
      <c r="E22" s="12"/>
      <c r="F22" s="13"/>
      <c r="G22" s="15"/>
      <c r="H22" s="24"/>
      <c r="I22" s="9" t="str">
        <f t="shared" si="0"/>
        <v/>
      </c>
      <c r="J22" s="5" t="str">
        <f t="shared" si="1"/>
        <v/>
      </c>
      <c r="K22" s="9" t="str">
        <f t="shared" si="2"/>
        <v/>
      </c>
      <c r="L22" s="25" t="str">
        <f t="shared" si="3"/>
        <v/>
      </c>
      <c r="M22" s="6" t="str">
        <f t="shared" si="4"/>
        <v/>
      </c>
      <c r="N22" s="12"/>
    </row>
    <row r="23" spans="2:14" ht="15.75" customHeight="1" x14ac:dyDescent="0.35">
      <c r="B23" s="11"/>
      <c r="C23" s="12"/>
      <c r="D23" s="12"/>
      <c r="E23" s="12"/>
      <c r="F23" s="13"/>
      <c r="G23" s="15"/>
      <c r="H23" s="24"/>
      <c r="I23" s="9" t="str">
        <f t="shared" si="0"/>
        <v/>
      </c>
      <c r="J23" s="5" t="str">
        <f t="shared" si="1"/>
        <v/>
      </c>
      <c r="K23" s="9" t="str">
        <f t="shared" si="2"/>
        <v/>
      </c>
      <c r="L23" s="25" t="str">
        <f t="shared" si="3"/>
        <v/>
      </c>
      <c r="M23" s="6" t="str">
        <f t="shared" si="4"/>
        <v/>
      </c>
      <c r="N23" s="12"/>
    </row>
    <row r="24" spans="2:14" ht="15.75" customHeight="1" x14ac:dyDescent="0.35">
      <c r="B24" s="11"/>
      <c r="C24" s="12"/>
      <c r="D24" s="12"/>
      <c r="E24" s="12"/>
      <c r="F24" s="13"/>
      <c r="G24" s="15"/>
      <c r="H24" s="24"/>
      <c r="I24" s="9" t="str">
        <f t="shared" si="0"/>
        <v/>
      </c>
      <c r="J24" s="5" t="str">
        <f t="shared" si="1"/>
        <v/>
      </c>
      <c r="K24" s="9" t="str">
        <f t="shared" si="2"/>
        <v/>
      </c>
      <c r="L24" s="25" t="str">
        <f t="shared" si="3"/>
        <v/>
      </c>
      <c r="M24" s="6" t="str">
        <f t="shared" si="4"/>
        <v/>
      </c>
      <c r="N24" s="12"/>
    </row>
    <row r="25" spans="2:14" ht="15.75" customHeight="1" x14ac:dyDescent="0.35">
      <c r="B25" s="11"/>
      <c r="C25" s="12"/>
      <c r="D25" s="12"/>
      <c r="E25" s="12"/>
      <c r="F25" s="13"/>
      <c r="G25" s="15"/>
      <c r="H25" s="24"/>
      <c r="I25" s="9" t="str">
        <f t="shared" si="0"/>
        <v/>
      </c>
      <c r="J25" s="5" t="str">
        <f t="shared" si="1"/>
        <v/>
      </c>
      <c r="K25" s="9" t="str">
        <f t="shared" si="2"/>
        <v/>
      </c>
      <c r="L25" s="25" t="str">
        <f t="shared" si="3"/>
        <v/>
      </c>
      <c r="M25" s="6" t="str">
        <f t="shared" si="4"/>
        <v/>
      </c>
      <c r="N25" s="12"/>
    </row>
    <row r="26" spans="2:14" ht="15.75" customHeight="1" x14ac:dyDescent="0.35">
      <c r="B26" s="11"/>
      <c r="C26" s="12"/>
      <c r="D26" s="12"/>
      <c r="E26" s="12"/>
      <c r="F26" s="13"/>
      <c r="G26" s="15"/>
      <c r="H26" s="24"/>
      <c r="I26" s="9" t="str">
        <f t="shared" si="0"/>
        <v/>
      </c>
      <c r="J26" s="5" t="str">
        <f t="shared" si="1"/>
        <v/>
      </c>
      <c r="K26" s="9" t="str">
        <f t="shared" si="2"/>
        <v/>
      </c>
      <c r="L26" s="25" t="str">
        <f t="shared" si="3"/>
        <v/>
      </c>
      <c r="M26" s="6" t="str">
        <f t="shared" si="4"/>
        <v/>
      </c>
      <c r="N26" s="12"/>
    </row>
    <row r="27" spans="2:14" ht="15.75" customHeight="1" x14ac:dyDescent="0.35">
      <c r="B27" s="11"/>
      <c r="C27" s="12"/>
      <c r="D27" s="12"/>
      <c r="E27" s="12"/>
      <c r="F27" s="13"/>
      <c r="G27" s="15"/>
      <c r="H27" s="24"/>
      <c r="I27" s="9" t="str">
        <f t="shared" si="0"/>
        <v/>
      </c>
      <c r="J27" s="5" t="str">
        <f t="shared" si="1"/>
        <v/>
      </c>
      <c r="K27" s="9" t="str">
        <f t="shared" si="2"/>
        <v/>
      </c>
      <c r="L27" s="25" t="str">
        <f t="shared" si="3"/>
        <v/>
      </c>
      <c r="M27" s="6" t="str">
        <f t="shared" si="4"/>
        <v/>
      </c>
      <c r="N27" s="12"/>
    </row>
    <row r="28" spans="2:14" ht="15.75" customHeight="1" x14ac:dyDescent="0.35">
      <c r="B28" s="11"/>
      <c r="C28" s="12"/>
      <c r="D28" s="12"/>
      <c r="E28" s="12"/>
      <c r="F28" s="13"/>
      <c r="G28" s="15"/>
      <c r="H28" s="24"/>
      <c r="I28" s="9" t="str">
        <f t="shared" si="0"/>
        <v/>
      </c>
      <c r="J28" s="5" t="str">
        <f t="shared" si="1"/>
        <v/>
      </c>
      <c r="K28" s="9" t="str">
        <f t="shared" si="2"/>
        <v/>
      </c>
      <c r="L28" s="25" t="str">
        <f t="shared" si="3"/>
        <v/>
      </c>
      <c r="M28" s="6" t="str">
        <f t="shared" si="4"/>
        <v/>
      </c>
      <c r="N28" s="12"/>
    </row>
    <row r="29" spans="2:14" ht="15.75" customHeight="1" x14ac:dyDescent="0.35">
      <c r="B29" s="11"/>
      <c r="C29" s="12"/>
      <c r="D29" s="12"/>
      <c r="E29" s="12"/>
      <c r="F29" s="13"/>
      <c r="G29" s="15"/>
      <c r="H29" s="24"/>
      <c r="I29" s="9" t="str">
        <f t="shared" si="0"/>
        <v/>
      </c>
      <c r="J29" s="5" t="str">
        <f t="shared" si="1"/>
        <v/>
      </c>
      <c r="K29" s="9" t="str">
        <f t="shared" si="2"/>
        <v/>
      </c>
      <c r="L29" s="25" t="str">
        <f t="shared" si="3"/>
        <v/>
      </c>
      <c r="M29" s="6" t="str">
        <f t="shared" si="4"/>
        <v/>
      </c>
      <c r="N29" s="12"/>
    </row>
    <row r="30" spans="2:14" ht="15.75" customHeight="1" x14ac:dyDescent="0.35">
      <c r="B30" s="11"/>
      <c r="C30" s="12"/>
      <c r="D30" s="12"/>
      <c r="E30" s="12"/>
      <c r="F30" s="13"/>
      <c r="G30" s="15"/>
      <c r="H30" s="24"/>
      <c r="I30" s="9" t="str">
        <f t="shared" si="0"/>
        <v/>
      </c>
      <c r="J30" s="5" t="str">
        <f t="shared" si="1"/>
        <v/>
      </c>
      <c r="K30" s="9" t="str">
        <f t="shared" si="2"/>
        <v/>
      </c>
      <c r="L30" s="25" t="str">
        <f t="shared" si="3"/>
        <v/>
      </c>
      <c r="M30" s="6" t="str">
        <f t="shared" si="4"/>
        <v/>
      </c>
      <c r="N30" s="12"/>
    </row>
    <row r="31" spans="2:14" ht="15.75" customHeight="1" x14ac:dyDescent="0.35">
      <c r="B31" s="11"/>
      <c r="C31" s="12"/>
      <c r="D31" s="12"/>
      <c r="E31" s="12"/>
      <c r="F31" s="13"/>
      <c r="G31" s="15"/>
      <c r="H31" s="24"/>
      <c r="I31" s="9" t="str">
        <f t="shared" si="0"/>
        <v/>
      </c>
      <c r="J31" s="5" t="str">
        <f t="shared" si="1"/>
        <v/>
      </c>
      <c r="K31" s="9" t="str">
        <f t="shared" si="2"/>
        <v/>
      </c>
      <c r="L31" s="25" t="str">
        <f t="shared" si="3"/>
        <v/>
      </c>
      <c r="M31" s="6" t="str">
        <f t="shared" si="4"/>
        <v/>
      </c>
      <c r="N31" s="12"/>
    </row>
    <row r="32" spans="2:14" ht="15.75" customHeight="1" x14ac:dyDescent="0.35">
      <c r="B32" s="11"/>
      <c r="C32" s="12"/>
      <c r="D32" s="12"/>
      <c r="E32" s="12"/>
      <c r="F32" s="13"/>
      <c r="G32" s="15"/>
      <c r="H32" s="24"/>
      <c r="I32" s="9" t="str">
        <f t="shared" si="0"/>
        <v/>
      </c>
      <c r="J32" s="5" t="str">
        <f t="shared" si="1"/>
        <v/>
      </c>
      <c r="K32" s="9" t="str">
        <f t="shared" si="2"/>
        <v/>
      </c>
      <c r="L32" s="25" t="str">
        <f t="shared" si="3"/>
        <v/>
      </c>
      <c r="M32" s="6" t="str">
        <f t="shared" si="4"/>
        <v/>
      </c>
      <c r="N32" s="12"/>
    </row>
    <row r="33" spans="2:14" ht="15.75" customHeight="1" x14ac:dyDescent="0.35">
      <c r="B33" s="11"/>
      <c r="C33" s="12"/>
      <c r="D33" s="12"/>
      <c r="E33" s="12"/>
      <c r="F33" s="13"/>
      <c r="G33" s="15"/>
      <c r="H33" s="24"/>
      <c r="I33" s="9" t="str">
        <f t="shared" si="0"/>
        <v/>
      </c>
      <c r="J33" s="5" t="str">
        <f t="shared" si="1"/>
        <v/>
      </c>
      <c r="K33" s="9" t="str">
        <f t="shared" si="2"/>
        <v/>
      </c>
      <c r="L33" s="25" t="str">
        <f t="shared" si="3"/>
        <v/>
      </c>
      <c r="M33" s="6" t="str">
        <f t="shared" si="4"/>
        <v/>
      </c>
      <c r="N33" s="12"/>
    </row>
    <row r="34" spans="2:14" ht="15.75" customHeight="1" x14ac:dyDescent="0.35">
      <c r="B34" s="11"/>
      <c r="C34" s="12"/>
      <c r="D34" s="12"/>
      <c r="E34" s="12"/>
      <c r="F34" s="13"/>
      <c r="G34" s="15"/>
      <c r="H34" s="24"/>
      <c r="I34" s="9" t="str">
        <f t="shared" si="0"/>
        <v/>
      </c>
      <c r="J34" s="5" t="str">
        <f t="shared" si="1"/>
        <v/>
      </c>
      <c r="K34" s="9" t="str">
        <f t="shared" si="2"/>
        <v/>
      </c>
      <c r="L34" s="25" t="str">
        <f t="shared" si="3"/>
        <v/>
      </c>
      <c r="M34" s="6" t="str">
        <f t="shared" si="4"/>
        <v/>
      </c>
      <c r="N34" s="12"/>
    </row>
    <row r="35" spans="2:14" ht="15.75" customHeight="1" x14ac:dyDescent="0.35">
      <c r="B35" s="11"/>
      <c r="C35" s="12"/>
      <c r="D35" s="12"/>
      <c r="E35" s="12"/>
      <c r="F35" s="13"/>
      <c r="G35" s="15"/>
      <c r="H35" s="24"/>
      <c r="I35" s="9" t="str">
        <f t="shared" si="0"/>
        <v/>
      </c>
      <c r="J35" s="5" t="str">
        <f t="shared" si="1"/>
        <v/>
      </c>
      <c r="K35" s="9" t="str">
        <f t="shared" si="2"/>
        <v/>
      </c>
      <c r="L35" s="25" t="str">
        <f t="shared" si="3"/>
        <v/>
      </c>
      <c r="M35" s="6" t="str">
        <f t="shared" si="4"/>
        <v/>
      </c>
      <c r="N35" s="12"/>
    </row>
    <row r="36" spans="2:14" ht="15.75" customHeight="1" x14ac:dyDescent="0.35">
      <c r="B36" s="11"/>
      <c r="C36" s="12"/>
      <c r="D36" s="12"/>
      <c r="E36" s="12"/>
      <c r="F36" s="13"/>
      <c r="G36" s="15"/>
      <c r="H36" s="24"/>
      <c r="I36" s="9" t="str">
        <f t="shared" si="0"/>
        <v/>
      </c>
      <c r="J36" s="5" t="str">
        <f t="shared" si="1"/>
        <v/>
      </c>
      <c r="K36" s="9" t="str">
        <f t="shared" si="2"/>
        <v/>
      </c>
      <c r="L36" s="25" t="str">
        <f t="shared" si="3"/>
        <v/>
      </c>
      <c r="M36" s="6" t="str">
        <f t="shared" si="4"/>
        <v/>
      </c>
      <c r="N36" s="12"/>
    </row>
    <row r="37" spans="2:14" ht="15.75" customHeight="1" x14ac:dyDescent="0.35">
      <c r="B37" s="11"/>
      <c r="C37" s="12"/>
      <c r="D37" s="12"/>
      <c r="E37" s="12"/>
      <c r="F37" s="13"/>
      <c r="G37" s="15"/>
      <c r="H37" s="24"/>
      <c r="I37" s="9" t="str">
        <f t="shared" si="0"/>
        <v/>
      </c>
      <c r="J37" s="5" t="str">
        <f t="shared" si="1"/>
        <v/>
      </c>
      <c r="K37" s="9" t="str">
        <f t="shared" si="2"/>
        <v/>
      </c>
      <c r="L37" s="25" t="str">
        <f t="shared" si="3"/>
        <v/>
      </c>
      <c r="M37" s="6" t="str">
        <f t="shared" si="4"/>
        <v/>
      </c>
      <c r="N37" s="12"/>
    </row>
    <row r="38" spans="2:14" ht="15.75" customHeight="1" x14ac:dyDescent="0.35">
      <c r="B38" s="11"/>
      <c r="C38" s="12"/>
      <c r="D38" s="12"/>
      <c r="E38" s="12"/>
      <c r="F38" s="13"/>
      <c r="G38" s="15"/>
      <c r="H38" s="24"/>
      <c r="I38" s="9" t="str">
        <f t="shared" si="0"/>
        <v/>
      </c>
      <c r="J38" s="5" t="str">
        <f t="shared" si="1"/>
        <v/>
      </c>
      <c r="K38" s="9" t="str">
        <f t="shared" si="2"/>
        <v/>
      </c>
      <c r="L38" s="25" t="str">
        <f t="shared" si="3"/>
        <v/>
      </c>
      <c r="M38" s="6" t="str">
        <f t="shared" si="4"/>
        <v/>
      </c>
      <c r="N38" s="12"/>
    </row>
    <row r="39" spans="2:14" ht="15.75" customHeight="1" x14ac:dyDescent="0.35">
      <c r="B39" s="11"/>
      <c r="C39" s="12"/>
      <c r="D39" s="12"/>
      <c r="E39" s="12"/>
      <c r="F39" s="13"/>
      <c r="G39" s="15"/>
      <c r="H39" s="24"/>
      <c r="I39" s="9" t="str">
        <f t="shared" si="0"/>
        <v/>
      </c>
      <c r="J39" s="5" t="str">
        <f t="shared" si="1"/>
        <v/>
      </c>
      <c r="K39" s="9" t="str">
        <f t="shared" si="2"/>
        <v/>
      </c>
      <c r="L39" s="25" t="str">
        <f t="shared" si="3"/>
        <v/>
      </c>
      <c r="M39" s="6" t="str">
        <f t="shared" si="4"/>
        <v/>
      </c>
      <c r="N39" s="12"/>
    </row>
    <row r="40" spans="2:14" ht="15.75" customHeight="1" x14ac:dyDescent="0.35">
      <c r="B40" s="11"/>
      <c r="C40" s="12"/>
      <c r="D40" s="12"/>
      <c r="E40" s="12"/>
      <c r="F40" s="13"/>
      <c r="G40" s="15"/>
      <c r="H40" s="24"/>
      <c r="I40" s="9" t="str">
        <f t="shared" si="0"/>
        <v/>
      </c>
      <c r="J40" s="5" t="str">
        <f t="shared" si="1"/>
        <v/>
      </c>
      <c r="K40" s="9" t="str">
        <f t="shared" si="2"/>
        <v/>
      </c>
      <c r="L40" s="25" t="str">
        <f t="shared" si="3"/>
        <v/>
      </c>
      <c r="M40" s="6" t="str">
        <f t="shared" si="4"/>
        <v/>
      </c>
      <c r="N40" s="12"/>
    </row>
    <row r="41" spans="2:14" ht="15.75" customHeight="1" x14ac:dyDescent="0.35">
      <c r="B41" s="11"/>
      <c r="C41" s="12"/>
      <c r="D41" s="12"/>
      <c r="E41" s="12"/>
      <c r="F41" s="13"/>
      <c r="G41" s="15"/>
      <c r="H41" s="24"/>
      <c r="I41" s="9" t="str">
        <f t="shared" si="0"/>
        <v/>
      </c>
      <c r="J41" s="5" t="str">
        <f t="shared" si="1"/>
        <v/>
      </c>
      <c r="K41" s="9" t="str">
        <f t="shared" si="2"/>
        <v/>
      </c>
      <c r="L41" s="25" t="str">
        <f t="shared" si="3"/>
        <v/>
      </c>
      <c r="M41" s="6" t="str">
        <f t="shared" si="4"/>
        <v/>
      </c>
      <c r="N41" s="12"/>
    </row>
    <row r="42" spans="2:14" ht="15.75" customHeight="1" x14ac:dyDescent="0.35">
      <c r="B42" s="11"/>
      <c r="C42" s="12"/>
      <c r="D42" s="12"/>
      <c r="E42" s="12"/>
      <c r="F42" s="13"/>
      <c r="G42" s="15"/>
      <c r="H42" s="24"/>
      <c r="I42" s="9" t="str">
        <f t="shared" si="0"/>
        <v/>
      </c>
      <c r="J42" s="5" t="str">
        <f t="shared" si="1"/>
        <v/>
      </c>
      <c r="K42" s="9" t="str">
        <f t="shared" si="2"/>
        <v/>
      </c>
      <c r="L42" s="25" t="str">
        <f t="shared" si="3"/>
        <v/>
      </c>
      <c r="M42" s="6" t="str">
        <f t="shared" si="4"/>
        <v/>
      </c>
      <c r="N42" s="12"/>
    </row>
    <row r="43" spans="2:14" ht="15.75" customHeight="1" x14ac:dyDescent="0.35">
      <c r="B43" s="11"/>
      <c r="C43" s="12"/>
      <c r="D43" s="12"/>
      <c r="E43" s="12"/>
      <c r="F43" s="13"/>
      <c r="G43" s="15"/>
      <c r="H43" s="24"/>
      <c r="I43" s="9" t="str">
        <f t="shared" si="0"/>
        <v/>
      </c>
      <c r="J43" s="5" t="str">
        <f t="shared" si="1"/>
        <v/>
      </c>
      <c r="K43" s="9" t="str">
        <f t="shared" si="2"/>
        <v/>
      </c>
      <c r="L43" s="25" t="str">
        <f t="shared" si="3"/>
        <v/>
      </c>
      <c r="M43" s="6" t="str">
        <f t="shared" si="4"/>
        <v/>
      </c>
      <c r="N43" s="12"/>
    </row>
    <row r="44" spans="2:14" ht="15.75" customHeight="1" x14ac:dyDescent="0.35">
      <c r="B44" s="11"/>
      <c r="C44" s="12"/>
      <c r="D44" s="12"/>
      <c r="E44" s="12"/>
      <c r="F44" s="13"/>
      <c r="G44" s="15"/>
      <c r="H44" s="24"/>
      <c r="I44" s="9" t="str">
        <f t="shared" si="0"/>
        <v/>
      </c>
      <c r="J44" s="5" t="str">
        <f t="shared" si="1"/>
        <v/>
      </c>
      <c r="K44" s="9" t="str">
        <f t="shared" si="2"/>
        <v/>
      </c>
      <c r="L44" s="25" t="str">
        <f t="shared" si="3"/>
        <v/>
      </c>
      <c r="M44" s="6" t="str">
        <f t="shared" si="4"/>
        <v/>
      </c>
      <c r="N44" s="12"/>
    </row>
    <row r="45" spans="2:14" ht="15.75" customHeight="1" x14ac:dyDescent="0.35">
      <c r="B45" s="11"/>
      <c r="C45" s="12"/>
      <c r="D45" s="12"/>
      <c r="E45" s="12"/>
      <c r="F45" s="13"/>
      <c r="G45" s="15"/>
      <c r="H45" s="24"/>
      <c r="I45" s="9" t="str">
        <f t="shared" si="0"/>
        <v/>
      </c>
      <c r="J45" s="5" t="str">
        <f t="shared" si="1"/>
        <v/>
      </c>
      <c r="K45" s="9" t="str">
        <f t="shared" si="2"/>
        <v/>
      </c>
      <c r="L45" s="25" t="str">
        <f t="shared" si="3"/>
        <v/>
      </c>
      <c r="M45" s="6" t="str">
        <f t="shared" si="4"/>
        <v/>
      </c>
      <c r="N45" s="12"/>
    </row>
    <row r="46" spans="2:14" ht="15.75" customHeight="1" x14ac:dyDescent="0.35">
      <c r="B46" s="11"/>
      <c r="C46" s="12"/>
      <c r="D46" s="12"/>
      <c r="E46" s="12"/>
      <c r="F46" s="13"/>
      <c r="G46" s="15"/>
      <c r="H46" s="24"/>
      <c r="I46" s="9" t="str">
        <f t="shared" si="0"/>
        <v/>
      </c>
      <c r="J46" s="5" t="str">
        <f t="shared" si="1"/>
        <v/>
      </c>
      <c r="K46" s="9" t="str">
        <f t="shared" si="2"/>
        <v/>
      </c>
      <c r="L46" s="25" t="str">
        <f t="shared" si="3"/>
        <v/>
      </c>
      <c r="M46" s="6" t="str">
        <f t="shared" si="4"/>
        <v/>
      </c>
      <c r="N46" s="12"/>
    </row>
    <row r="47" spans="2:14" ht="15.75" customHeight="1" x14ac:dyDescent="0.35">
      <c r="B47" s="11"/>
      <c r="C47" s="12"/>
      <c r="D47" s="12"/>
      <c r="E47" s="12"/>
      <c r="F47" s="13"/>
      <c r="G47" s="15"/>
      <c r="H47" s="24"/>
      <c r="I47" s="9" t="str">
        <f t="shared" si="0"/>
        <v/>
      </c>
      <c r="J47" s="5" t="str">
        <f t="shared" si="1"/>
        <v/>
      </c>
      <c r="K47" s="9" t="str">
        <f t="shared" si="2"/>
        <v/>
      </c>
      <c r="L47" s="25" t="str">
        <f t="shared" si="3"/>
        <v/>
      </c>
      <c r="M47" s="6" t="str">
        <f t="shared" si="4"/>
        <v/>
      </c>
      <c r="N47" s="12"/>
    </row>
    <row r="48" spans="2:14" ht="15.75" customHeight="1" x14ac:dyDescent="0.35">
      <c r="B48" s="11"/>
      <c r="C48" s="12"/>
      <c r="D48" s="12"/>
      <c r="E48" s="12"/>
      <c r="F48" s="13"/>
      <c r="G48" s="15"/>
      <c r="H48" s="24"/>
      <c r="I48" s="9" t="str">
        <f t="shared" si="0"/>
        <v/>
      </c>
      <c r="J48" s="5" t="str">
        <f t="shared" si="1"/>
        <v/>
      </c>
      <c r="K48" s="9" t="str">
        <f t="shared" si="2"/>
        <v/>
      </c>
      <c r="L48" s="25" t="str">
        <f t="shared" si="3"/>
        <v/>
      </c>
      <c r="M48" s="6" t="str">
        <f t="shared" si="4"/>
        <v/>
      </c>
      <c r="N48" s="12"/>
    </row>
    <row r="49" spans="2:14" ht="15.75" customHeight="1" x14ac:dyDescent="0.35">
      <c r="B49" s="11"/>
      <c r="C49" s="12"/>
      <c r="D49" s="12"/>
      <c r="E49" s="12"/>
      <c r="F49" s="13"/>
      <c r="G49" s="15"/>
      <c r="H49" s="24"/>
      <c r="I49" s="9" t="str">
        <f t="shared" si="0"/>
        <v/>
      </c>
      <c r="J49" s="5" t="str">
        <f t="shared" si="1"/>
        <v/>
      </c>
      <c r="K49" s="9" t="str">
        <f t="shared" si="2"/>
        <v/>
      </c>
      <c r="L49" s="25" t="str">
        <f t="shared" si="3"/>
        <v/>
      </c>
      <c r="M49" s="6" t="str">
        <f t="shared" si="4"/>
        <v/>
      </c>
      <c r="N49" s="12"/>
    </row>
    <row r="50" spans="2:14" ht="15.75" customHeight="1" x14ac:dyDescent="0.35">
      <c r="B50" s="11"/>
      <c r="C50" s="12"/>
      <c r="D50" s="12"/>
      <c r="E50" s="12"/>
      <c r="F50" s="13"/>
      <c r="G50" s="15"/>
      <c r="H50" s="24"/>
      <c r="I50" s="9" t="str">
        <f t="shared" si="0"/>
        <v/>
      </c>
      <c r="J50" s="5" t="str">
        <f t="shared" si="1"/>
        <v/>
      </c>
      <c r="K50" s="9" t="str">
        <f t="shared" si="2"/>
        <v/>
      </c>
      <c r="L50" s="25" t="str">
        <f t="shared" si="3"/>
        <v/>
      </c>
      <c r="M50" s="6" t="str">
        <f t="shared" si="4"/>
        <v/>
      </c>
      <c r="N50" s="12"/>
    </row>
    <row r="51" spans="2:14" ht="15.75" customHeight="1" x14ac:dyDescent="0.35">
      <c r="B51" s="11"/>
      <c r="C51" s="12"/>
      <c r="D51" s="12"/>
      <c r="E51" s="12"/>
      <c r="F51" s="13"/>
      <c r="G51" s="15"/>
      <c r="H51" s="24"/>
      <c r="I51" s="9" t="str">
        <f t="shared" si="0"/>
        <v/>
      </c>
      <c r="J51" s="5" t="str">
        <f t="shared" si="1"/>
        <v/>
      </c>
      <c r="K51" s="9" t="str">
        <f t="shared" si="2"/>
        <v/>
      </c>
      <c r="L51" s="25" t="str">
        <f t="shared" si="3"/>
        <v/>
      </c>
      <c r="M51" s="6" t="str">
        <f t="shared" si="4"/>
        <v/>
      </c>
      <c r="N51" s="12"/>
    </row>
    <row r="52" spans="2:14" ht="15.75" customHeight="1" x14ac:dyDescent="0.35">
      <c r="B52" s="11"/>
      <c r="C52" s="12"/>
      <c r="D52" s="12"/>
      <c r="E52" s="12"/>
      <c r="F52" s="13"/>
      <c r="G52" s="15"/>
      <c r="H52" s="24"/>
      <c r="I52" s="9" t="str">
        <f t="shared" si="0"/>
        <v/>
      </c>
      <c r="J52" s="5" t="str">
        <f t="shared" si="1"/>
        <v/>
      </c>
      <c r="K52" s="9" t="str">
        <f t="shared" si="2"/>
        <v/>
      </c>
      <c r="L52" s="25" t="str">
        <f t="shared" si="3"/>
        <v/>
      </c>
      <c r="M52" s="6" t="str">
        <f t="shared" si="4"/>
        <v/>
      </c>
      <c r="N52" s="12"/>
    </row>
    <row r="53" spans="2:14" ht="15.75" customHeight="1" x14ac:dyDescent="0.35">
      <c r="B53" s="11"/>
      <c r="C53" s="12"/>
      <c r="D53" s="12"/>
      <c r="E53" s="12"/>
      <c r="F53" s="13"/>
      <c r="G53" s="15"/>
      <c r="H53" s="24"/>
      <c r="I53" s="9" t="str">
        <f t="shared" si="0"/>
        <v/>
      </c>
      <c r="J53" s="5" t="str">
        <f t="shared" si="1"/>
        <v/>
      </c>
      <c r="K53" s="9" t="str">
        <f t="shared" si="2"/>
        <v/>
      </c>
      <c r="L53" s="25" t="str">
        <f t="shared" si="3"/>
        <v/>
      </c>
      <c r="M53" s="6" t="str">
        <f t="shared" si="4"/>
        <v/>
      </c>
      <c r="N53" s="12"/>
    </row>
    <row r="54" spans="2:14" ht="15.75" customHeight="1" x14ac:dyDescent="0.35">
      <c r="B54" s="11"/>
      <c r="C54" s="12"/>
      <c r="D54" s="12"/>
      <c r="E54" s="12"/>
      <c r="F54" s="13"/>
      <c r="G54" s="15"/>
      <c r="H54" s="24"/>
      <c r="I54" s="9" t="str">
        <f t="shared" si="0"/>
        <v/>
      </c>
      <c r="J54" s="5" t="str">
        <f t="shared" si="1"/>
        <v/>
      </c>
      <c r="K54" s="9" t="str">
        <f t="shared" si="2"/>
        <v/>
      </c>
      <c r="L54" s="25" t="str">
        <f t="shared" si="3"/>
        <v/>
      </c>
      <c r="M54" s="6" t="str">
        <f t="shared" si="4"/>
        <v/>
      </c>
      <c r="N54" s="12"/>
    </row>
    <row r="55" spans="2:14" ht="15.75" customHeight="1" x14ac:dyDescent="0.35">
      <c r="B55" s="11"/>
      <c r="C55" s="12"/>
      <c r="D55" s="12"/>
      <c r="E55" s="12"/>
      <c r="F55" s="13"/>
      <c r="G55" s="15"/>
      <c r="H55" s="24"/>
      <c r="I55" s="9" t="str">
        <f t="shared" si="0"/>
        <v/>
      </c>
      <c r="J55" s="5" t="str">
        <f t="shared" si="1"/>
        <v/>
      </c>
      <c r="K55" s="9" t="str">
        <f t="shared" si="2"/>
        <v/>
      </c>
      <c r="L55" s="25" t="str">
        <f t="shared" si="3"/>
        <v/>
      </c>
      <c r="M55" s="6" t="str">
        <f t="shared" si="4"/>
        <v/>
      </c>
      <c r="N55" s="12"/>
    </row>
    <row r="56" spans="2:14" ht="15.75" customHeight="1" x14ac:dyDescent="0.35">
      <c r="B56" s="11"/>
      <c r="C56" s="12"/>
      <c r="D56" s="12"/>
      <c r="E56" s="12"/>
      <c r="F56" s="13"/>
      <c r="G56" s="15"/>
      <c r="H56" s="24"/>
      <c r="I56" s="9" t="str">
        <f t="shared" si="0"/>
        <v/>
      </c>
      <c r="J56" s="5" t="str">
        <f t="shared" si="1"/>
        <v/>
      </c>
      <c r="K56" s="9" t="str">
        <f t="shared" si="2"/>
        <v/>
      </c>
      <c r="L56" s="25" t="str">
        <f t="shared" si="3"/>
        <v/>
      </c>
      <c r="M56" s="6" t="str">
        <f t="shared" si="4"/>
        <v/>
      </c>
      <c r="N56" s="12"/>
    </row>
    <row r="57" spans="2:14" ht="15.75" customHeight="1" x14ac:dyDescent="0.35">
      <c r="B57" s="11"/>
      <c r="C57" s="12"/>
      <c r="D57" s="12"/>
      <c r="E57" s="12"/>
      <c r="F57" s="13"/>
      <c r="G57" s="15"/>
      <c r="H57" s="24"/>
      <c r="I57" s="9" t="str">
        <f t="shared" si="0"/>
        <v/>
      </c>
      <c r="J57" s="5" t="str">
        <f t="shared" si="1"/>
        <v/>
      </c>
      <c r="K57" s="9" t="str">
        <f t="shared" si="2"/>
        <v/>
      </c>
      <c r="L57" s="25" t="str">
        <f t="shared" si="3"/>
        <v/>
      </c>
      <c r="M57" s="6" t="str">
        <f t="shared" si="4"/>
        <v/>
      </c>
      <c r="N57" s="12"/>
    </row>
    <row r="58" spans="2:14" ht="15.75" customHeight="1" x14ac:dyDescent="0.35">
      <c r="B58" s="11"/>
      <c r="C58" s="12"/>
      <c r="D58" s="12"/>
      <c r="E58" s="12"/>
      <c r="F58" s="13"/>
      <c r="G58" s="15"/>
      <c r="H58" s="24"/>
      <c r="I58" s="9" t="str">
        <f t="shared" si="0"/>
        <v/>
      </c>
      <c r="J58" s="5" t="str">
        <f t="shared" si="1"/>
        <v/>
      </c>
      <c r="K58" s="9" t="str">
        <f t="shared" si="2"/>
        <v/>
      </c>
      <c r="L58" s="25" t="str">
        <f t="shared" si="3"/>
        <v/>
      </c>
      <c r="M58" s="6" t="str">
        <f t="shared" si="4"/>
        <v/>
      </c>
      <c r="N58" s="12"/>
    </row>
    <row r="59" spans="2:14" ht="15.75" customHeight="1" x14ac:dyDescent="0.35">
      <c r="B59" s="11"/>
      <c r="C59" s="12"/>
      <c r="D59" s="12"/>
      <c r="E59" s="12"/>
      <c r="F59" s="13"/>
      <c r="G59" s="15"/>
      <c r="H59" s="24"/>
      <c r="I59" s="9" t="str">
        <f t="shared" si="0"/>
        <v/>
      </c>
      <c r="J59" s="5" t="str">
        <f t="shared" si="1"/>
        <v/>
      </c>
      <c r="K59" s="9" t="str">
        <f t="shared" si="2"/>
        <v/>
      </c>
      <c r="L59" s="25" t="str">
        <f t="shared" si="3"/>
        <v/>
      </c>
      <c r="M59" s="6" t="str">
        <f t="shared" si="4"/>
        <v/>
      </c>
      <c r="N59" s="12"/>
    </row>
    <row r="60" spans="2:14" ht="15.75" customHeight="1" x14ac:dyDescent="0.35"/>
    <row r="61" spans="2:14" ht="15" customHeight="1" x14ac:dyDescent="0.35">
      <c r="B61" s="88" t="s">
        <v>241</v>
      </c>
      <c r="C61" s="89"/>
      <c r="D61" s="89"/>
      <c r="E61" s="89"/>
      <c r="F61" s="90"/>
      <c r="G61" s="26">
        <f>SUM(G11:G60)</f>
        <v>20000</v>
      </c>
      <c r="H61" s="20"/>
      <c r="I61" s="26">
        <f>SUM(I11:I60)</f>
        <v>455.5</v>
      </c>
      <c r="J61" s="19">
        <f>SUM(J11:J60)</f>
        <v>40000</v>
      </c>
      <c r="K61" s="26">
        <f>SUM(K11:K60)</f>
        <v>720</v>
      </c>
      <c r="L61" s="26">
        <f>SUM(L11:L60)</f>
        <v>264.5</v>
      </c>
      <c r="M61" s="20"/>
      <c r="N61" s="20"/>
    </row>
    <row r="62" spans="2:14" ht="15.75" customHeight="1" x14ac:dyDescent="0.35"/>
    <row r="63" spans="2:14" ht="15.75" customHeight="1" x14ac:dyDescent="0.35"/>
    <row r="64" spans="2:1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</sheetData>
  <mergeCells count="2">
    <mergeCell ref="B61:F61"/>
    <mergeCell ref="L5:N5"/>
  </mergeCells>
  <pageMargins left="0.75" right="0.75" top="1" bottom="1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H100"/>
  <sheetViews>
    <sheetView showGridLines="0" workbookViewId="0"/>
  </sheetViews>
  <sheetFormatPr defaultColWidth="14.453125" defaultRowHeight="15" customHeight="1" x14ac:dyDescent="0.35"/>
  <cols>
    <col min="1" max="1" width="2" customWidth="1"/>
    <col min="2" max="2" width="30" customWidth="1"/>
    <col min="3" max="3" width="18" customWidth="1"/>
    <col min="4" max="4" width="4" customWidth="1"/>
    <col min="5" max="5" width="30" customWidth="1"/>
    <col min="6" max="6" width="18" customWidth="1"/>
    <col min="7" max="7" width="4" customWidth="1"/>
    <col min="8" max="8" width="30" customWidth="1"/>
    <col min="9" max="11" width="8.7265625" customWidth="1"/>
  </cols>
  <sheetData>
    <row r="2" spans="2:8" ht="25" customHeight="1" x14ac:dyDescent="0.35">
      <c r="B2" s="1" t="s">
        <v>267</v>
      </c>
    </row>
    <row r="3" spans="2:8" ht="14.5" customHeight="1" x14ac:dyDescent="0.35">
      <c r="B3" s="2" t="s">
        <v>268</v>
      </c>
    </row>
    <row r="5" spans="2:8" ht="15" customHeight="1" x14ac:dyDescent="0.35">
      <c r="B5" s="91" t="s">
        <v>269</v>
      </c>
      <c r="C5" s="90"/>
      <c r="E5" s="91" t="s">
        <v>270</v>
      </c>
      <c r="F5" s="90"/>
    </row>
    <row r="6" spans="2:8" ht="14.5" customHeight="1" x14ac:dyDescent="0.35">
      <c r="B6" s="3" t="s">
        <v>271</v>
      </c>
      <c r="C6" s="27">
        <v>2792</v>
      </c>
      <c r="E6" s="3" t="s">
        <v>272</v>
      </c>
      <c r="F6" s="28">
        <f>C6-C7</f>
        <v>2792</v>
      </c>
    </row>
    <row r="7" spans="2:8" ht="14.5" customHeight="1" x14ac:dyDescent="0.35">
      <c r="B7" s="3" t="s">
        <v>273</v>
      </c>
      <c r="C7" s="27">
        <v>0</v>
      </c>
      <c r="E7" s="3" t="s">
        <v>274</v>
      </c>
      <c r="F7" s="29">
        <f>IF(C8=0,0,(C6-C7)/C8*100)</f>
        <v>1.6232558139534885</v>
      </c>
    </row>
    <row r="8" spans="2:8" ht="14.5" customHeight="1" x14ac:dyDescent="0.35">
      <c r="B8" s="3" t="s">
        <v>275</v>
      </c>
      <c r="C8" s="30">
        <v>172000</v>
      </c>
      <c r="E8" s="3" t="s">
        <v>276</v>
      </c>
      <c r="F8" s="31" t="str">
        <f>IF(C8=0,"Enter points",IF((C6-C7)/C8*100&gt;=C9,"✓ Good redemption","✗ Below target — pay cash"))</f>
        <v>✓ Good redemption</v>
      </c>
    </row>
    <row r="9" spans="2:8" ht="14.5" customHeight="1" x14ac:dyDescent="0.35">
      <c r="B9" s="3" t="s">
        <v>277</v>
      </c>
      <c r="C9" s="21">
        <v>1.5</v>
      </c>
      <c r="E9" s="3" t="s">
        <v>278</v>
      </c>
      <c r="F9" s="9">
        <f>C8*C9/100</f>
        <v>2580</v>
      </c>
    </row>
    <row r="11" spans="2:8" ht="15" customHeight="1" x14ac:dyDescent="0.35">
      <c r="B11" s="88" t="s">
        <v>279</v>
      </c>
      <c r="C11" s="89"/>
      <c r="D11" s="89"/>
      <c r="E11" s="89"/>
      <c r="F11" s="89"/>
      <c r="G11" s="89"/>
      <c r="H11" s="90"/>
    </row>
    <row r="12" spans="2:8" ht="14.5" customHeight="1" x14ac:dyDescent="0.35">
      <c r="B12" s="32" t="s">
        <v>280</v>
      </c>
      <c r="C12" s="8" t="s">
        <v>281</v>
      </c>
    </row>
    <row r="13" spans="2:8" ht="14.5" customHeight="1" x14ac:dyDescent="0.35">
      <c r="B13" s="32" t="s">
        <v>282</v>
      </c>
      <c r="C13" s="8" t="s">
        <v>283</v>
      </c>
    </row>
    <row r="14" spans="2:8" ht="14.5" customHeight="1" x14ac:dyDescent="0.35">
      <c r="B14" s="32" t="s">
        <v>284</v>
      </c>
      <c r="C14" s="8" t="s">
        <v>285</v>
      </c>
    </row>
    <row r="15" spans="2:8" ht="14.5" customHeight="1" x14ac:dyDescent="0.35">
      <c r="B15" s="32" t="s">
        <v>286</v>
      </c>
      <c r="C15" s="8" t="s">
        <v>287</v>
      </c>
    </row>
    <row r="16" spans="2:8" ht="14.5" customHeight="1" x14ac:dyDescent="0.35">
      <c r="B16" s="32" t="s">
        <v>288</v>
      </c>
      <c r="C16" s="8" t="s">
        <v>289</v>
      </c>
    </row>
    <row r="17" spans="2:3" ht="14.5" customHeight="1" x14ac:dyDescent="0.35">
      <c r="B17" s="32" t="s">
        <v>290</v>
      </c>
      <c r="C17" s="8" t="s">
        <v>291</v>
      </c>
    </row>
    <row r="18" spans="2:3" ht="14.5" customHeight="1" x14ac:dyDescent="0.35">
      <c r="B18" s="32" t="s">
        <v>292</v>
      </c>
      <c r="C18" s="8" t="s">
        <v>293</v>
      </c>
    </row>
    <row r="19" spans="2:3" ht="14.5" customHeight="1" x14ac:dyDescent="0.35">
      <c r="B19" s="32" t="s">
        <v>294</v>
      </c>
      <c r="C19" s="8" t="s">
        <v>295</v>
      </c>
    </row>
    <row r="20" spans="2:3" ht="14.5" customHeight="1" x14ac:dyDescent="0.35">
      <c r="B20" s="32" t="s">
        <v>296</v>
      </c>
      <c r="C20" s="8" t="s">
        <v>285</v>
      </c>
    </row>
    <row r="21" spans="2:3" ht="15.75" customHeight="1" x14ac:dyDescent="0.35"/>
    <row r="22" spans="2:3" ht="15.75" customHeight="1" x14ac:dyDescent="0.35"/>
    <row r="23" spans="2:3" ht="15.75" customHeight="1" x14ac:dyDescent="0.35"/>
    <row r="24" spans="2:3" ht="15.75" customHeight="1" x14ac:dyDescent="0.35"/>
    <row r="25" spans="2:3" ht="15.75" customHeight="1" x14ac:dyDescent="0.35"/>
    <row r="26" spans="2:3" ht="15.75" customHeight="1" x14ac:dyDescent="0.35"/>
    <row r="27" spans="2:3" ht="15.75" customHeight="1" x14ac:dyDescent="0.35"/>
    <row r="28" spans="2:3" ht="15.75" customHeight="1" x14ac:dyDescent="0.35"/>
    <row r="29" spans="2:3" ht="15.75" customHeight="1" x14ac:dyDescent="0.35"/>
    <row r="30" spans="2:3" ht="15.75" customHeight="1" x14ac:dyDescent="0.35"/>
    <row r="31" spans="2:3" ht="15.75" customHeight="1" x14ac:dyDescent="0.35"/>
    <row r="32" spans="2:3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</sheetData>
  <mergeCells count="3">
    <mergeCell ref="E5:F5"/>
    <mergeCell ref="B5:C5"/>
    <mergeCell ref="B11:H11"/>
  </mergeCells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README</vt:lpstr>
      <vt:lpstr>Year Summary</vt:lpstr>
      <vt:lpstr>Singapore 2026</vt:lpstr>
      <vt:lpstr>Montreal 2026</vt:lpstr>
      <vt:lpstr>Spain 2026</vt:lpstr>
      <vt:lpstr>Japan 2027</vt:lpstr>
      <vt:lpstr>Cards</vt:lpstr>
      <vt:lpstr>3% Fee Tracker</vt:lpstr>
      <vt:lpstr>CPP Calculator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nancy liu</cp:lastModifiedBy>
  <cp:revision>0</cp:revision>
  <dcterms:created xsi:type="dcterms:W3CDTF">2026-05-20T01:10:11Z</dcterms:created>
  <dcterms:modified xsi:type="dcterms:W3CDTF">2026-05-20T14:24:24Z</dcterms:modified>
  <dc:language>en-US</dc:language>
</cp:coreProperties>
</file>