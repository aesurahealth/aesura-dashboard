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650" yWindow="4500" windowWidth="28800" windowHeight="15370" tabRatio="600" firstSheet="0" activeTab="2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 Summary" sheetId="2" state="visible" r:id="rId2"/>
    <sheet xmlns:r="http://schemas.openxmlformats.org/officeDocument/2006/relationships" name="Singapore 2026" sheetId="3" state="visible" r:id="rId3"/>
    <sheet xmlns:r="http://schemas.openxmlformats.org/officeDocument/2006/relationships" name="Montreal 2026" sheetId="4" state="visible" r:id="rId4"/>
    <sheet xmlns:r="http://schemas.openxmlformats.org/officeDocument/2006/relationships" name="Spain 2026" sheetId="5" state="visible" r:id="rId5"/>
    <sheet xmlns:r="http://schemas.openxmlformats.org/officeDocument/2006/relationships" name="Japan 2027" sheetId="6" state="visible" r:id="rId6"/>
    <sheet xmlns:r="http://schemas.openxmlformats.org/officeDocument/2006/relationships" name="Cards" sheetId="7" state="visible" r:id="rId7"/>
    <sheet xmlns:r="http://schemas.openxmlformats.org/officeDocument/2006/relationships" name="3% Fee Tracker" sheetId="8" state="visible" r:id="rId8"/>
    <sheet xmlns:r="http://schemas.openxmlformats.org/officeDocument/2006/relationships" name="CPP Calculato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\$#,##0;&quot;($&quot;#,##0\);\-"/>
    <numFmt numFmtId="165" formatCode="#,##0;\(#,##0\);\-"/>
    <numFmt numFmtId="166" formatCode="0.000\¢"/>
    <numFmt numFmtId="167" formatCode="mm/dd/yyyy"/>
    <numFmt numFmtId="168" formatCode="\$#,##0.00;&quot;($&quot;#,##0.00\);\-"/>
    <numFmt numFmtId="169" formatCode="0.0%;\(0.0%\);\-"/>
    <numFmt numFmtId="170" formatCode="&quot;$&quot;#,##0.00_);[Red]\(&quot;$&quot;#,##0.00\)"/>
    <numFmt numFmtId="171" formatCode="_($* #,##0.00_);_($* (#,##0.00);_($* &quot;-&quot;??_);_(@_)"/>
    <numFmt numFmtId="172" formatCode="#,##0;(#,##0);&quot;-&quot;"/>
    <numFmt numFmtId="173" formatCode="0.00 &quot;¢&quot;;(0.00 &quot;¢&quot;);&quot;-&quot;"/>
    <numFmt numFmtId="174" formatCode="0.0%;(0.0%);&quot;-&quot;"/>
    <numFmt numFmtId="175" formatCode="yyyy-mm-dd h:mm:ss"/>
    <numFmt numFmtId="176" formatCode="mmm d, yyyy"/>
  </numFmts>
  <fonts count="22">
    <font>
      <name val="Calibri"/>
      <sz val="11"/>
      <scheme val="minor"/>
    </font>
    <font>
      <name val="Arial"/>
      <b val="1"/>
      <color rgb="FF5C544A"/>
      <sz val="20"/>
    </font>
    <font>
      <name val="Arial"/>
      <i val="1"/>
      <color rgb="FF8B7E6E"/>
      <sz val="11"/>
    </font>
    <font>
      <name val="Arial"/>
      <b val="1"/>
      <color rgb="FF5C544A"/>
      <sz val="12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0000FF"/>
      <sz val="10"/>
    </font>
    <font>
      <name val="Arial"/>
      <b val="1"/>
      <color rgb="FFFFFFFF"/>
      <sz val="10"/>
    </font>
    <font>
      <name val="Calibri"/>
      <sz val="11"/>
    </font>
    <font>
      <name val="Arial"/>
      <b val="1"/>
      <color rgb="FF5C544A"/>
      <sz val="16"/>
    </font>
    <font>
      <name val="Arial"/>
      <color rgb="FF0000FF"/>
      <sz val="10"/>
    </font>
    <font>
      <name val="Arial"/>
      <b val="1"/>
      <color rgb="FF008000"/>
      <sz val="10"/>
    </font>
    <font>
      <name val="Calibri"/>
      <sz val="11"/>
      <scheme val="minor"/>
    </font>
    <font>
      <name val="Arial"/>
      <family val="2"/>
      <b val="1"/>
      <color rgb="FF0000FF"/>
      <sz val="10"/>
    </font>
    <font>
      <name val="Calibri"/>
      <b val="1"/>
      <color rgb="00FFFFFF"/>
      <sz val="20"/>
    </font>
    <font>
      <name val="Calibri"/>
      <color rgb="001F3A2E"/>
      <sz val="10"/>
    </font>
    <font>
      <b val="1"/>
      <color rgb="001F3A2E"/>
      <sz val="11"/>
    </font>
    <font>
      <name val="Calibri"/>
      <b val="1"/>
      <color rgb="001F3A2E"/>
      <sz val="10"/>
    </font>
    <font>
      <name val="Calibri"/>
      <b val="1"/>
      <color rgb="00FFFFFF"/>
      <sz val="12"/>
    </font>
    <font>
      <name val="Calibri"/>
      <b val="1"/>
      <color rgb="001F3A2E"/>
      <sz val="14"/>
    </font>
    <font>
      <name val="Calibri"/>
      <b val="1"/>
      <color rgb="00FFFFFF"/>
      <sz val="10"/>
    </font>
    <font>
      <b val="1"/>
      <color rgb="001F3A2E"/>
    </font>
  </fonts>
  <fills count="11">
    <fill>
      <patternFill/>
    </fill>
    <fill>
      <patternFill patternType="gray125"/>
    </fill>
    <fill>
      <patternFill patternType="solid">
        <fgColor rgb="FFD8D0C5"/>
        <bgColor rgb="FFD8D0C5"/>
      </patternFill>
    </fill>
    <fill>
      <patternFill patternType="solid">
        <fgColor rgb="FFF5F0E8"/>
        <bgColor rgb="FFF5F0E8"/>
      </patternFill>
    </fill>
    <fill>
      <patternFill patternType="solid">
        <fgColor rgb="FF8B7E6E"/>
        <bgColor rgb="FF8B7E6E"/>
      </patternFill>
    </fill>
    <fill>
      <patternFill patternType="solid">
        <fgColor rgb="FF5C544A"/>
        <bgColor rgb="FF5C544A"/>
      </patternFill>
    </fill>
    <fill>
      <patternFill patternType="solid">
        <fgColor rgb="001F3A2E"/>
      </patternFill>
    </fill>
    <fill>
      <patternFill patternType="solid">
        <fgColor rgb="00C6A36A"/>
      </patternFill>
    </fill>
    <fill>
      <patternFill patternType="solid">
        <fgColor rgb="00F2EEE5"/>
      </patternFill>
    </fill>
    <fill>
      <patternFill patternType="solid">
        <fgColor rgb="002C3E2D"/>
      </patternFill>
    </fill>
    <fill>
      <patternFill patternType="solid">
        <fgColor rgb="00FAF8F3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B0A89C"/>
      </left>
      <right style="thin">
        <color rgb="FFB0A89C"/>
      </right>
      <top style="thin">
        <color rgb="FFB0A89C"/>
      </top>
      <bottom style="thin">
        <color rgb="FFB0A89C"/>
      </bottom>
      <diagonal/>
    </border>
    <border>
      <left style="thin">
        <color rgb="FFB0A89C"/>
      </left>
      <right/>
      <top style="thin">
        <color rgb="FFB0A89C"/>
      </top>
      <bottom style="thin">
        <color rgb="FFB0A89C"/>
      </bottom>
      <diagonal/>
    </border>
    <border>
      <left/>
      <right style="thin">
        <color rgb="FFB0A89C"/>
      </right>
      <top style="thin">
        <color rgb="FFB0A89C"/>
      </top>
      <bottom style="thin">
        <color rgb="FFB0A89C"/>
      </bottom>
      <diagonal/>
    </border>
    <border>
      <left/>
      <right/>
      <top style="thin">
        <color rgb="FFB0A89C"/>
      </top>
      <bottom style="thin">
        <color rgb="FFB0A89C"/>
      </bottom>
      <diagonal/>
    </border>
    <border>
      <left/>
      <right/>
      <top style="thin">
        <color rgb="FFB0A89C"/>
      </top>
      <bottom/>
      <diagonal/>
    </border>
    <border>
      <left/>
      <right style="thin">
        <color rgb="FFB0A89C"/>
      </right>
      <top style="thin">
        <color rgb="FFB0A89C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12" fillId="0" borderId="1"/>
    <xf numFmtId="44" fontId="12" fillId="0" borderId="1"/>
  </cellStyleXfs>
  <cellXfs count="10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1" fontId="6" fillId="3" borderId="2" applyAlignment="1" pivotButton="0" quotePrefix="0" xfId="0">
      <alignment horizontal="right" vertical="center"/>
    </xf>
    <xf numFmtId="0" fontId="7" fillId="4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/>
    </xf>
    <xf numFmtId="164" fontId="4" fillId="0" borderId="2" applyAlignment="1" pivotButton="0" quotePrefix="0" xfId="0">
      <alignment horizontal="right" vertical="center"/>
    </xf>
    <xf numFmtId="164" fontId="5" fillId="3" borderId="2" applyAlignment="1" pivotButton="0" quotePrefix="0" xfId="0">
      <alignment horizontal="right" vertical="center"/>
    </xf>
    <xf numFmtId="165" fontId="4" fillId="0" borderId="2" applyAlignment="1" pivotButton="0" quotePrefix="0" xfId="0">
      <alignment horizontal="right" vertical="center"/>
    </xf>
    <xf numFmtId="166" fontId="4" fillId="0" borderId="2" applyAlignment="1" pivotButton="0" quotePrefix="0" xfId="0">
      <alignment horizontal="right" vertical="center"/>
    </xf>
    <xf numFmtId="167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/>
    </xf>
    <xf numFmtId="168" fontId="4" fillId="0" borderId="2" applyAlignment="1" pivotButton="0" quotePrefix="0" xfId="0">
      <alignment horizontal="right" vertical="center"/>
    </xf>
    <xf numFmtId="169" fontId="4" fillId="0" borderId="2" applyAlignment="1" pivotButton="0" quotePrefix="0" xfId="0">
      <alignment horizontal="right" vertical="center"/>
    </xf>
    <xf numFmtId="0" fontId="7" fillId="5" borderId="2" applyAlignment="1" pivotButton="0" quotePrefix="0" xfId="0">
      <alignment horizontal="center" vertical="center" wrapText="1"/>
    </xf>
    <xf numFmtId="167" fontId="10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center" vertical="center"/>
    </xf>
    <xf numFmtId="165" fontId="10" fillId="0" borderId="2" applyAlignment="1" pivotButton="0" quotePrefix="0" xfId="0">
      <alignment horizontal="right" vertical="center"/>
    </xf>
    <xf numFmtId="168" fontId="10" fillId="0" borderId="2" applyAlignment="1" pivotButton="0" quotePrefix="0" xfId="0">
      <alignment horizontal="right" vertical="center"/>
    </xf>
    <xf numFmtId="168" fontId="6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164" fontId="10" fillId="0" borderId="2" applyAlignment="1" pivotButton="0" quotePrefix="0" xfId="0">
      <alignment horizontal="right" vertical="center"/>
    </xf>
    <xf numFmtId="164" fontId="5" fillId="2" borderId="2" applyAlignment="1" pivotButton="0" quotePrefix="0" xfId="0">
      <alignment horizontal="right" vertical="center"/>
    </xf>
    <xf numFmtId="165" fontId="5" fillId="2" borderId="2" applyAlignment="1" pivotButton="0" quotePrefix="0" xfId="0">
      <alignment horizontal="right" vertical="center"/>
    </xf>
    <xf numFmtId="0" fontId="4" fillId="2" borderId="2" applyAlignment="1" pivotButton="0" quotePrefix="0" xfId="0">
      <alignment horizontal="left" vertical="center"/>
    </xf>
    <xf numFmtId="166" fontId="10" fillId="3" borderId="2" applyAlignment="1" pivotButton="0" quotePrefix="0" xfId="0">
      <alignment horizontal="right" vertical="center"/>
    </xf>
    <xf numFmtId="169" fontId="10" fillId="3" borderId="2" applyAlignment="1" pivotButton="0" quotePrefix="0" xfId="0">
      <alignment horizontal="right" vertical="center"/>
    </xf>
    <xf numFmtId="0" fontId="11" fillId="0" borderId="2" applyAlignment="1" pivotButton="0" quotePrefix="0" xfId="0">
      <alignment horizontal="center" vertical="center"/>
    </xf>
    <xf numFmtId="169" fontId="10" fillId="0" borderId="2" applyAlignment="1" pivotButton="0" quotePrefix="0" xfId="0">
      <alignment horizontal="right" vertical="center"/>
    </xf>
    <xf numFmtId="168" fontId="5" fillId="3" borderId="2" applyAlignment="1" pivotButton="0" quotePrefix="0" xfId="0">
      <alignment horizontal="right" vertical="center"/>
    </xf>
    <xf numFmtId="168" fontId="5" fillId="2" borderId="2" applyAlignment="1" pivotButton="0" quotePrefix="0" xfId="0">
      <alignment horizontal="right" vertical="center"/>
    </xf>
    <xf numFmtId="168" fontId="10" fillId="3" borderId="2" applyAlignment="1" pivotButton="0" quotePrefix="0" xfId="0">
      <alignment horizontal="right" vertical="center"/>
    </xf>
    <xf numFmtId="168" fontId="5" fillId="0" borderId="2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5" fontId="10" fillId="3" borderId="2" applyAlignment="1" pivotButton="0" quotePrefix="0" xfId="0">
      <alignment horizontal="right" vertical="center"/>
    </xf>
    <xf numFmtId="0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7" fillId="4" borderId="3" applyAlignment="1" pivotButton="0" quotePrefix="0" xfId="0">
      <alignment horizontal="center" vertical="center" wrapText="1"/>
    </xf>
    <xf numFmtId="0" fontId="8" fillId="0" borderId="4" pivotButton="0" quotePrefix="0" xfId="0"/>
    <xf numFmtId="164" fontId="9" fillId="3" borderId="3" applyAlignment="1" pivotButton="0" quotePrefix="0" xfId="0">
      <alignment horizontal="center" vertical="center"/>
    </xf>
    <xf numFmtId="165" fontId="9" fillId="3" borderId="3" applyAlignment="1" pivotButton="0" quotePrefix="0" xfId="0">
      <alignment horizontal="center" vertical="center"/>
    </xf>
    <xf numFmtId="166" fontId="9" fillId="3" borderId="3" applyAlignment="1" pivotButton="0" quotePrefix="0" xfId="0">
      <alignment horizontal="center" vertical="center"/>
    </xf>
    <xf numFmtId="0" fontId="7" fillId="5" borderId="3" applyAlignment="1" pivotButton="0" quotePrefix="0" xfId="0">
      <alignment horizontal="center" vertical="center" wrapText="1"/>
    </xf>
    <xf numFmtId="0" fontId="8" fillId="0" borderId="5" pivotButton="0" quotePrefix="0" xfId="0"/>
    <xf numFmtId="0" fontId="4" fillId="0" borderId="3" applyAlignment="1" pivotButton="0" quotePrefix="0" xfId="0">
      <alignment horizontal="left" vertical="center"/>
    </xf>
    <xf numFmtId="0" fontId="6" fillId="3" borderId="3" applyAlignment="1" pivotButton="0" quotePrefix="0" xfId="0">
      <alignment horizontal="left" vertical="center"/>
    </xf>
    <xf numFmtId="169" fontId="9" fillId="3" borderId="3" applyAlignment="1" pivotButton="0" quotePrefix="0" xfId="0">
      <alignment horizontal="center" vertical="center"/>
    </xf>
    <xf numFmtId="0" fontId="5" fillId="2" borderId="3" applyAlignment="1" pivotButton="0" quotePrefix="0" xfId="0">
      <alignment horizontal="left" vertical="center" wrapText="1"/>
    </xf>
    <xf numFmtId="170" fontId="13" fillId="0" borderId="2" applyAlignment="1" pivotButton="0" quotePrefix="0" xfId="1">
      <alignment horizontal="right" vertical="center" wrapText="1"/>
    </xf>
    <xf numFmtId="0" fontId="14" fillId="6" borderId="0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wrapText="1" indent="1"/>
    </xf>
    <xf numFmtId="0" fontId="16" fillId="7" borderId="0" applyAlignment="1" pivotButton="0" quotePrefix="0" xfId="0">
      <alignment horizontal="left" vertical="center" wrapText="1" indent="1"/>
    </xf>
    <xf numFmtId="0" fontId="18" fillId="6" borderId="0" applyAlignment="1" pivotButton="0" quotePrefix="0" xfId="0">
      <alignment horizontal="left" vertical="center" indent="1"/>
    </xf>
    <xf numFmtId="0" fontId="17" fillId="7" borderId="0" applyAlignment="1" pivotButton="0" quotePrefix="0" xfId="0">
      <alignment horizontal="left" vertical="center" indent="1"/>
    </xf>
    <xf numFmtId="171" fontId="19" fillId="8" borderId="0" applyAlignment="1" pivotButton="0" quotePrefix="0" xfId="0">
      <alignment horizontal="left" vertical="center" indent="1"/>
    </xf>
    <xf numFmtId="172" fontId="19" fillId="8" borderId="0" applyAlignment="1" pivotButton="0" quotePrefix="0" xfId="0">
      <alignment horizontal="left" vertical="center" indent="1"/>
    </xf>
    <xf numFmtId="173" fontId="19" fillId="8" borderId="0" applyAlignment="1" pivotButton="0" quotePrefix="0" xfId="0">
      <alignment horizontal="left" vertical="center" indent="1"/>
    </xf>
    <xf numFmtId="174" fontId="19" fillId="8" borderId="0" applyAlignment="1" pivotButton="0" quotePrefix="0" xfId="0">
      <alignment horizontal="left" vertical="center" indent="1"/>
    </xf>
    <xf numFmtId="0" fontId="20" fillId="9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center" wrapText="1"/>
    </xf>
    <xf numFmtId="171" fontId="15" fillId="0" borderId="8" applyAlignment="1" pivotButton="0" quotePrefix="0" xfId="0">
      <alignment horizontal="left" vertical="center" wrapText="1"/>
    </xf>
    <xf numFmtId="172" fontId="15" fillId="0" borderId="8" applyAlignment="1" pivotButton="0" quotePrefix="0" xfId="0">
      <alignment horizontal="right" vertical="center"/>
    </xf>
    <xf numFmtId="171" fontId="15" fillId="0" borderId="8" applyAlignment="1" pivotButton="0" quotePrefix="0" xfId="0">
      <alignment horizontal="right" vertical="center"/>
    </xf>
    <xf numFmtId="173" fontId="15" fillId="0" borderId="8" applyAlignment="1" pivotButton="0" quotePrefix="0" xfId="0">
      <alignment horizontal="right" vertical="center"/>
    </xf>
    <xf numFmtId="0" fontId="15" fillId="10" borderId="8" applyAlignment="1" pivotButton="0" quotePrefix="0" xfId="0">
      <alignment horizontal="center" vertical="center" wrapText="1"/>
    </xf>
    <xf numFmtId="171" fontId="15" fillId="10" borderId="8" applyAlignment="1" pivotButton="0" quotePrefix="0" xfId="0">
      <alignment horizontal="left" vertical="center" wrapText="1"/>
    </xf>
    <xf numFmtId="172" fontId="15" fillId="10" borderId="8" applyAlignment="1" pivotButton="0" quotePrefix="0" xfId="0">
      <alignment horizontal="right" vertical="center"/>
    </xf>
    <xf numFmtId="171" fontId="15" fillId="10" borderId="8" applyAlignment="1" pivotButton="0" quotePrefix="0" xfId="0">
      <alignment horizontal="right" vertical="center"/>
    </xf>
    <xf numFmtId="173" fontId="15" fillId="10" borderId="8" applyAlignment="1" pivotButton="0" quotePrefix="0" xfId="0">
      <alignment horizontal="right" vertical="center"/>
    </xf>
    <xf numFmtId="0" fontId="21" fillId="8" borderId="8" pivotButton="0" quotePrefix="0" xfId="0"/>
    <xf numFmtId="171" fontId="21" fillId="8" borderId="8" pivotButton="0" quotePrefix="0" xfId="0"/>
    <xf numFmtId="172" fontId="21" fillId="8" borderId="8" pivotButton="0" quotePrefix="0" xfId="0"/>
    <xf numFmtId="173" fontId="21" fillId="8" borderId="8" pivotButton="0" quotePrefix="0" xfId="0"/>
    <xf numFmtId="0" fontId="17" fillId="7" borderId="0" applyAlignment="1" pivotButton="0" quotePrefix="0" xfId="0">
      <alignment horizontal="left" indent="1"/>
    </xf>
    <xf numFmtId="171" fontId="19" fillId="8" borderId="0" applyAlignment="1" pivotButton="0" quotePrefix="0" xfId="0">
      <alignment horizontal="left" indent="1"/>
    </xf>
    <xf numFmtId="0" fontId="17" fillId="0" borderId="0" pivotButton="0" quotePrefix="0" xfId="0"/>
    <xf numFmtId="0" fontId="15" fillId="0" borderId="0" pivotButton="0" quotePrefix="0" xfId="0"/>
    <xf numFmtId="176" fontId="15" fillId="0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left" vertical="center" wrapText="1"/>
    </xf>
    <xf numFmtId="174" fontId="15" fillId="0" borderId="8" applyAlignment="1" pivotButton="0" quotePrefix="0" xfId="0">
      <alignment horizontal="right" vertical="center"/>
    </xf>
    <xf numFmtId="176" fontId="15" fillId="10" borderId="8" applyAlignment="1" pivotButton="0" quotePrefix="0" xfId="0">
      <alignment horizontal="center" vertical="center" wrapText="1"/>
    </xf>
    <xf numFmtId="0" fontId="15" fillId="10" borderId="8" applyAlignment="1" pivotButton="0" quotePrefix="0" xfId="0">
      <alignment horizontal="left" vertical="center" wrapText="1"/>
    </xf>
    <xf numFmtId="174" fontId="15" fillId="10" borderId="8" applyAlignment="1" pivotButton="0" quotePrefix="0" xfId="0">
      <alignment horizontal="right" vertical="center"/>
    </xf>
    <xf numFmtId="172" fontId="15" fillId="0" borderId="8" applyAlignment="1" pivotButton="0" quotePrefix="0" xfId="0">
      <alignment horizontal="left" vertical="center" wrapText="1"/>
    </xf>
    <xf numFmtId="172" fontId="15" fillId="10" borderId="8" applyAlignment="1" pivotButton="0" quotePrefix="0" xfId="0">
      <alignment horizontal="left" vertical="center" wrapText="1"/>
    </xf>
    <xf numFmtId="0" fontId="15" fillId="0" borderId="8" applyAlignment="1" pivotButton="0" quotePrefix="0" xfId="0">
      <alignment horizontal="right" vertical="center"/>
    </xf>
    <xf numFmtId="0" fontId="15" fillId="10" borderId="8" applyAlignment="1" pivotButton="0" quotePrefix="0" xfId="0">
      <alignment horizontal="right" vertical="center"/>
    </xf>
    <xf numFmtId="167" fontId="10" fillId="0" borderId="2" applyAlignment="1" pivotButton="0" quotePrefix="0" xfId="0">
      <alignment horizontal="center" vertical="center"/>
    </xf>
    <xf numFmtId="167" fontId="4" fillId="0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4" pivotButton="0" quotePrefix="0" xfId="0"/>
    <xf numFmtId="169" fontId="10" fillId="3" borderId="2" applyAlignment="1" pivotButton="0" quotePrefix="0" xfId="0">
      <alignment horizontal="right" vertical="center"/>
    </xf>
    <xf numFmtId="168" fontId="10" fillId="0" borderId="2" applyAlignment="1" pivotButton="0" quotePrefix="0" xfId="0">
      <alignment horizontal="right" vertical="center"/>
    </xf>
    <xf numFmtId="169" fontId="10" fillId="0" borderId="2" applyAlignment="1" pivotButton="0" quotePrefix="0" xfId="0">
      <alignment horizontal="right" vertical="center"/>
    </xf>
    <xf numFmtId="168" fontId="4" fillId="0" borderId="2" applyAlignment="1" pivotButton="0" quotePrefix="0" xfId="0">
      <alignment horizontal="right" vertical="center"/>
    </xf>
    <xf numFmtId="168" fontId="5" fillId="3" borderId="2" applyAlignment="1" pivotButton="0" quotePrefix="0" xfId="0">
      <alignment horizontal="right" vertical="center"/>
    </xf>
    <xf numFmtId="168" fontId="5" fillId="2" borderId="2" applyAlignment="1" pivotButton="0" quotePrefix="0" xfId="0">
      <alignment horizontal="right" vertical="center"/>
    </xf>
    <xf numFmtId="168" fontId="10" fillId="3" borderId="2" applyAlignment="1" pivotButton="0" quotePrefix="0" xfId="0">
      <alignment horizontal="right" vertical="center"/>
    </xf>
    <xf numFmtId="168" fontId="5" fillId="0" borderId="2" applyAlignment="1" pivotButton="0" quotePrefix="0" xfId="0">
      <alignment horizontal="right" vertical="center"/>
    </xf>
  </cellXfs>
  <cellStyles count="2">
    <cellStyle name="Normal" xfId="0" builtinId="0"/>
    <cellStyle name="Currency" xfId="1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 ht="42" customHeight="1">
      <c r="B2" s="54" t="inlineStr">
        <is>
          <t>VACATION TRACKER — README</t>
        </is>
      </c>
    </row>
    <row r="4" ht="18" customHeight="1">
      <c r="B4" s="55" t="inlineStr"/>
    </row>
    <row r="5" ht="18" customHeight="1">
      <c r="B5" s="56" t="inlineStr">
        <is>
          <t>STRUCTURE</t>
        </is>
      </c>
    </row>
    <row r="6" ht="18" customHeight="1">
      <c r="B6" s="55" t="inlineStr">
        <is>
          <t>Year Summary  rolls up totals across every destination tab.</t>
        </is>
      </c>
    </row>
    <row r="7" ht="18" customHeight="1">
      <c r="B7" s="55" t="inlineStr">
        <is>
          <t>Destination tabs (Singapore 2026, Montreal 2026, Spain 2026, Japan 2027)  log flights, hotels, activities directly.</t>
        </is>
      </c>
    </row>
    <row r="8" ht="18" customHeight="1">
      <c r="B8" s="55" t="inlineStr">
        <is>
          <t>Cards  credit card AF / signup bonus tracker.</t>
        </is>
      </c>
    </row>
    <row r="9" ht="18" customHeight="1">
      <c r="B9" s="55" t="inlineStr">
        <is>
          <t>3% Fee Tracker  non-bonus spend that earns points worth more than the 3% fee.</t>
        </is>
      </c>
    </row>
    <row r="10" ht="18" customHeight="1">
      <c r="B10" s="55" t="inlineStr">
        <is>
          <t>CPP Calculator  quick check whether a redemption beats your target CPP.</t>
        </is>
      </c>
    </row>
    <row r="11" ht="18" customHeight="1">
      <c r="B11" s="55" t="inlineStr"/>
    </row>
    <row r="12" ht="18" customHeight="1">
      <c r="B12" s="56" t="inlineStr">
        <is>
          <t>HOW TO LOG A TRIP</t>
        </is>
      </c>
    </row>
    <row r="13" ht="18" customHeight="1">
      <c r="B13" s="55" t="inlineStr">
        <is>
          <t>1. Pick the destination tab.</t>
        </is>
      </c>
    </row>
    <row r="14" ht="18" customHeight="1">
      <c r="B14" s="55" t="inlineStr">
        <is>
          <t>2. Under FLIGHTS, fill in Date, Airline, Route, Class, Points, Tax + Fee, Sticker, Notes.</t>
        </is>
      </c>
    </row>
    <row r="15" ht="18" customHeight="1">
      <c r="B15" s="55" t="inlineStr">
        <is>
          <t>3. Under HOTELS, fill in Check-in, Hotel, Location, Nights, Points, Tax + Fee, Sticker, Notes.</t>
        </is>
      </c>
    </row>
    <row r="16" ht="18" customHeight="1">
      <c r="B16" s="55" t="inlineStr">
        <is>
          <t>4. Under ACTIVITIES, fill in Date, Activity, Vendor, Travelers, Cash, Currency, Category, Notes.</t>
        </is>
      </c>
    </row>
    <row r="17" ht="18" customHeight="1">
      <c r="B17" s="55" t="inlineStr">
        <is>
          <t>5. CPP, Savings, and % Off calculate automatically. KPI band at top updates live.</t>
        </is>
      </c>
    </row>
    <row r="18" ht="18" customHeight="1">
      <c r="B18" s="55" t="inlineStr"/>
    </row>
    <row r="19" ht="18" customHeight="1">
      <c r="B19" s="55" t="inlineStr">
        <is>
          <t>FORMULAS (per redemption row)</t>
        </is>
      </c>
    </row>
    <row r="20" ht="18" customHeight="1">
      <c r="B20" s="55" t="inlineStr">
        <is>
          <t>CPP (cents)   =  (Sticker  Tax/Fee) / Points * 100</t>
        </is>
      </c>
    </row>
    <row r="21" ht="18" customHeight="1">
      <c r="B21" s="55" t="inlineStr">
        <is>
          <t>Savings ($)   =  MAX(Sticker  Tax/Fee, 0)</t>
        </is>
      </c>
    </row>
    <row r="22" ht="18" customHeight="1">
      <c r="B22" s="55" t="inlineStr">
        <is>
          <t>% Off         =  MAX((Sticker  Tax/Fee) / Sticker, 0)</t>
        </is>
      </c>
    </row>
    <row r="23" ht="18" customHeight="1">
      <c r="B23" s="55" t="inlineStr"/>
    </row>
    <row r="24" ht="18" customHeight="1">
      <c r="B24" s="55" t="inlineStr">
        <is>
          <t>FORMULAS (trip totals at top of each destination tab)</t>
        </is>
      </c>
    </row>
    <row r="25" ht="18" customHeight="1">
      <c r="B25" s="55" t="inlineStr">
        <is>
          <t>Total Trip Cost      =  Sum of flight Tax/Fee  +  hotel Tax/Fee  +  activity Cash</t>
        </is>
      </c>
    </row>
    <row r="26" ht="18" customHeight="1">
      <c r="B26" s="55" t="inlineStr">
        <is>
          <t>Cash on Redemptions  =  Sum of flight Tax/Fee  +  hotel Tax/Fee</t>
        </is>
      </c>
    </row>
    <row r="27" ht="18" customHeight="1">
      <c r="B27" s="55" t="inlineStr">
        <is>
          <t>Sticker Value        =  Sum of flight Sticker  +  hotel Sticker</t>
        </is>
      </c>
    </row>
    <row r="28" ht="18" customHeight="1">
      <c r="B28" s="55" t="inlineStr">
        <is>
          <t>Total Savings        =  Sticker Value  Cash on Redemptions</t>
        </is>
      </c>
    </row>
    <row r="29" ht="18" customHeight="1">
      <c r="B29" s="55" t="inlineStr">
        <is>
          <t>Blended CPP          =  Total Savings / Points Used * 100</t>
        </is>
      </c>
    </row>
    <row r="30" ht="18" customHeight="1">
      <c r="B30" s="55" t="inlineStr">
        <is>
          <t>% Off Sticker        =  Total Savings / Sticker Value</t>
        </is>
      </c>
    </row>
    <row r="31" ht="18" customHeight="1">
      <c r="B31" s="55" t="inlineStr"/>
    </row>
    <row r="32" ht="18" customHeight="1">
      <c r="B32" s="56" t="inlineStr">
        <is>
          <t>TO ADD A NEW DESTINATION</t>
        </is>
      </c>
    </row>
    <row r="33" ht="18" customHeight="1">
      <c r="B33" s="55" t="inlineStr">
        <is>
          <t>Right-click any destination tab &gt; Move or Copy &gt; check Create a copy &gt; rename.</t>
        </is>
      </c>
    </row>
    <row r="34" ht="18" customHeight="1">
      <c r="B34" s="55" t="inlineStr">
        <is>
          <t>Update the Trip Name and Dates in row 4. Clear the data rows under each section.</t>
        </is>
      </c>
    </row>
    <row r="35" ht="18" customHeight="1">
      <c r="B35" s="55" t="inlineStr">
        <is>
          <t>Add a row in the BY TRIP table on Year Summary referencing the new tab's B8/E11/etc.</t>
        </is>
      </c>
    </row>
    <row r="36" ht="18" customHeight="1">
      <c r="B36" s="55" t="inlineStr"/>
    </row>
    <row r="37" ht="18" customHeight="1">
      <c r="B37" s="56" t="inlineStr">
        <is>
          <t>TIPS</t>
        </is>
      </c>
    </row>
    <row r="38" ht="18" customHeight="1">
      <c r="B38" s="55" t="inlineStr">
        <is>
          <t>Leave Points = 0 for fully-cash bookings  Tax/Fee column then equals Cash spent.</t>
        </is>
      </c>
    </row>
    <row r="39" ht="18" customHeight="1">
      <c r="B39" s="55" t="inlineStr">
        <is>
          <t>Set your target CPP on the CPP Calculator before booking new awards.</t>
        </is>
      </c>
    </row>
    <row r="40" ht="18" customHeight="1">
      <c r="B40" s="55" t="inlineStr">
        <is>
          <t>3% Fee Tracker uses CPP from M6  update it if your point value changes.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30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4" customWidth="1" min="9" max="9"/>
    <col width="14" customWidth="1" min="10" max="10"/>
  </cols>
  <sheetData>
    <row r="2" ht="42" customHeight="1">
      <c r="B2" s="54" t="inlineStr">
        <is>
          <t>VACATION YEAR SUMMARY</t>
        </is>
      </c>
    </row>
    <row r="6" ht="26" customHeight="1">
      <c r="B6" s="57" t="inlineStr">
        <is>
          <t xml:space="preserve">  ALL TRIPS — TOTALS</t>
        </is>
      </c>
    </row>
    <row r="7">
      <c r="B7" s="58" t="inlineStr">
        <is>
          <t>Total Vacation Spend</t>
        </is>
      </c>
      <c r="D7" s="58" t="inlineStr">
        <is>
          <t>Cash on Redemptions</t>
        </is>
      </c>
      <c r="F7" s="58" t="inlineStr">
        <is>
          <t>Activities Cash</t>
        </is>
      </c>
      <c r="H7" s="58" t="inlineStr">
        <is>
          <t>Points Used</t>
        </is>
      </c>
    </row>
    <row r="8" ht="28" customHeight="1">
      <c r="B8" s="59">
        <f>'Singapore 2026'!B8+'Montreal 2026'!B8+'Spain 2026'!B8+'Japan 2027'!B8</f>
        <v/>
      </c>
      <c r="D8" s="59">
        <f>'Singapore 2026'!E8+'Montreal 2026'!E8+'Spain 2026'!E8+'Japan 2027'!E8</f>
        <v/>
      </c>
      <c r="F8" s="59">
        <f>'Singapore 2026'!H8+'Montreal 2026'!H8+'Spain 2026'!H8+'Japan 2027'!H8</f>
        <v/>
      </c>
      <c r="H8" s="60">
        <f>'Singapore 2026'!J8+'Montreal 2026'!J8+'Spain 2026'!J8+'Japan 2027'!J8</f>
        <v/>
      </c>
    </row>
    <row r="10">
      <c r="B10" s="58" t="inlineStr">
        <is>
          <t>Sticker Value</t>
        </is>
      </c>
      <c r="D10" s="58" t="inlineStr">
        <is>
          <t>Total Savings</t>
        </is>
      </c>
      <c r="F10" s="58" t="inlineStr">
        <is>
          <t>Blended CPP</t>
        </is>
      </c>
      <c r="H10" s="58" t="inlineStr">
        <is>
          <t>% Off Sticker</t>
        </is>
      </c>
    </row>
    <row r="11" ht="28" customHeight="1">
      <c r="B11" s="59">
        <f>'Singapore 2026'!B11+'Montreal 2026'!B11+'Spain 2026'!B11+'Japan 2027'!B11</f>
        <v/>
      </c>
      <c r="D11" s="59">
        <f>'Singapore 2026'!E11+'Montreal 2026'!E11+'Spain 2026'!E11+'Japan 2027'!E11</f>
        <v/>
      </c>
      <c r="F11" s="61">
        <f>IFERROR(('Singapore 2026'!E11+'Montreal 2026'!E11+'Spain 2026'!E11+'Japan 2027'!E11)/('Singapore 2026'!J8+'Montreal 2026'!J8+'Spain 2026'!J8+'Japan 2027'!J8)*100,0)</f>
        <v/>
      </c>
      <c r="H11" s="62">
        <f>IFERROR(('Singapore 2026'!E11+'Montreal 2026'!E11+'Spain 2026'!E11+'Japan 2027'!E11)/('Singapore 2026'!B11+'Montreal 2026'!B11+'Spain 2026'!B11+'Japan 2027'!B11),0)</f>
        <v/>
      </c>
    </row>
    <row r="13">
      <c r="B13" s="58" t="inlineStr">
        <is>
          <t>Airline Points</t>
        </is>
      </c>
      <c r="D13" s="58" t="inlineStr">
        <is>
          <t>Airline CPP</t>
        </is>
      </c>
      <c r="F13" s="58" t="inlineStr">
        <is>
          <t>Hotel Points</t>
        </is>
      </c>
      <c r="H13" s="58" t="inlineStr">
        <is>
          <t>Hotel CPP</t>
        </is>
      </c>
    </row>
    <row r="14" ht="28" customHeight="1">
      <c r="B14" s="60">
        <f>'Singapore 2026'!B14+'Montreal 2026'!B14+'Spain 2026'!B14+'Japan 2027'!B14</f>
        <v/>
      </c>
      <c r="D14" s="61">
        <f>IFERROR(('Singapore 2026'!B14*'Singapore 2026'!E14+'Montreal 2026'!B14*'Montreal 2026'!E14+'Spain 2026'!B14*'Spain 2026'!E14+'Japan 2027'!B14*'Japan 2027'!E14)/('Singapore 2026'!B14+'Montreal 2026'!B14+'Spain 2026'!B14+'Japan 2027'!B14),0)</f>
        <v/>
      </c>
      <c r="F14" s="60">
        <f>'Singapore 2026'!H14+'Montreal 2026'!H14+'Spain 2026'!H14+'Japan 2027'!H14</f>
        <v/>
      </c>
      <c r="H14" s="61">
        <f>IFERROR(('Singapore 2026'!H14*'Singapore 2026'!J14+'Montreal 2026'!H14*'Montreal 2026'!J14+'Spain 2026'!H14*'Spain 2026'!J14+'Japan 2027'!H14*'Japan 2027'!J14)/('Singapore 2026'!H14+'Montreal 2026'!H14+'Spain 2026'!H14+'Japan 2027'!H14),0)</f>
        <v/>
      </c>
    </row>
    <row r="17" ht="26" customHeight="1">
      <c r="B17" s="57" t="inlineStr">
        <is>
          <t xml:space="preserve">  BY TRIP</t>
        </is>
      </c>
    </row>
    <row r="18" ht="32" customHeight="1">
      <c r="B18" s="63" t="inlineStr">
        <is>
          <t>Trip</t>
        </is>
      </c>
      <c r="C18" s="63" t="inlineStr">
        <is>
          <t>Trip Cost ($)</t>
        </is>
      </c>
      <c r="D18" s="63" t="inlineStr">
        <is>
          <t>Activities ($)</t>
        </is>
      </c>
      <c r="E18" s="63" t="inlineStr">
        <is>
          <t>Sticker ($)</t>
        </is>
      </c>
      <c r="F18" s="63" t="inlineStr">
        <is>
          <t>Points Used</t>
        </is>
      </c>
      <c r="G18" s="63" t="inlineStr">
        <is>
          <t>Savings ($)</t>
        </is>
      </c>
      <c r="H18" s="63" t="inlineStr">
        <is>
          <t>Blended CPP (¢)</t>
        </is>
      </c>
      <c r="I18" s="63" t="inlineStr">
        <is>
          <t>Airline CPP (¢)</t>
        </is>
      </c>
      <c r="J18" s="63" t="inlineStr">
        <is>
          <t>Hotel CPP (¢)</t>
        </is>
      </c>
    </row>
    <row r="19">
      <c r="B19" s="64" t="inlineStr">
        <is>
          <t>Singapore 2026</t>
        </is>
      </c>
      <c r="C19" s="65">
        <f>'Singapore 2026'!B8</f>
        <v/>
      </c>
      <c r="D19" s="65">
        <f>'Singapore 2026'!H8</f>
        <v/>
      </c>
      <c r="E19" s="65">
        <f>'Singapore 2026'!B11</f>
        <v/>
      </c>
      <c r="F19" s="66">
        <f>'Singapore 2026'!J8</f>
        <v/>
      </c>
      <c r="G19" s="67">
        <f>'Singapore 2026'!E11</f>
        <v/>
      </c>
      <c r="H19" s="68">
        <f>'Singapore 2026'!H11</f>
        <v/>
      </c>
      <c r="I19" s="68">
        <f>'Singapore 2026'!E14</f>
        <v/>
      </c>
      <c r="J19" s="68">
        <f>'Singapore 2026'!J14</f>
        <v/>
      </c>
    </row>
    <row r="20">
      <c r="B20" s="69" t="inlineStr">
        <is>
          <t>Montreal 2026</t>
        </is>
      </c>
      <c r="C20" s="70">
        <f>'Montreal 2026'!B8</f>
        <v/>
      </c>
      <c r="D20" s="70">
        <f>'Montreal 2026'!H8</f>
        <v/>
      </c>
      <c r="E20" s="70">
        <f>'Montreal 2026'!B11</f>
        <v/>
      </c>
      <c r="F20" s="71">
        <f>'Montreal 2026'!J8</f>
        <v/>
      </c>
      <c r="G20" s="72">
        <f>'Montreal 2026'!E11</f>
        <v/>
      </c>
      <c r="H20" s="73">
        <f>'Montreal 2026'!H11</f>
        <v/>
      </c>
      <c r="I20" s="73">
        <f>'Montreal 2026'!E14</f>
        <v/>
      </c>
      <c r="J20" s="73">
        <f>'Montreal 2026'!J14</f>
        <v/>
      </c>
    </row>
    <row r="21">
      <c r="B21" s="64" t="inlineStr">
        <is>
          <t>Spain 2026</t>
        </is>
      </c>
      <c r="C21" s="65">
        <f>'Spain 2026'!B8</f>
        <v/>
      </c>
      <c r="D21" s="65">
        <f>'Spain 2026'!H8</f>
        <v/>
      </c>
      <c r="E21" s="65">
        <f>'Spain 2026'!B11</f>
        <v/>
      </c>
      <c r="F21" s="66">
        <f>'Spain 2026'!J8</f>
        <v/>
      </c>
      <c r="G21" s="67">
        <f>'Spain 2026'!E11</f>
        <v/>
      </c>
      <c r="H21" s="68">
        <f>'Spain 2026'!H11</f>
        <v/>
      </c>
      <c r="I21" s="68">
        <f>'Spain 2026'!E14</f>
        <v/>
      </c>
      <c r="J21" s="68">
        <f>'Spain 2026'!J14</f>
        <v/>
      </c>
    </row>
    <row r="22">
      <c r="B22" s="69" t="inlineStr">
        <is>
          <t>Japan 2027</t>
        </is>
      </c>
      <c r="C22" s="70">
        <f>'Japan 2027'!B8</f>
        <v/>
      </c>
      <c r="D22" s="70">
        <f>'Japan 2027'!H8</f>
        <v/>
      </c>
      <c r="E22" s="70">
        <f>'Japan 2027'!B11</f>
        <v/>
      </c>
      <c r="F22" s="71">
        <f>'Japan 2027'!J8</f>
        <v/>
      </c>
      <c r="G22" s="72">
        <f>'Japan 2027'!E11</f>
        <v/>
      </c>
      <c r="H22" s="73">
        <f>'Japan 2027'!H11</f>
        <v/>
      </c>
      <c r="I22" s="73">
        <f>'Japan 2027'!E14</f>
        <v/>
      </c>
      <c r="J22" s="73">
        <f>'Japan 2027'!J14</f>
        <v/>
      </c>
    </row>
    <row r="23">
      <c r="B23" s="74" t="inlineStr">
        <is>
          <t>TOTAL</t>
        </is>
      </c>
      <c r="C23" s="75">
        <f>SUM(C19:C22)</f>
        <v/>
      </c>
      <c r="D23" s="75">
        <f>SUM(D19:D22)</f>
        <v/>
      </c>
      <c r="E23" s="75">
        <f>SUM(E19:E22)</f>
        <v/>
      </c>
      <c r="F23" s="76">
        <f>SUM(F19:F22)</f>
        <v/>
      </c>
      <c r="G23" s="75">
        <f>SUM(G19:G22)</f>
        <v/>
      </c>
      <c r="H23" s="77">
        <f>F11</f>
        <v/>
      </c>
      <c r="I23" s="77">
        <f>D14</f>
        <v/>
      </c>
      <c r="J23" s="77">
        <f>H14</f>
        <v/>
      </c>
    </row>
    <row r="26" ht="26" customHeight="1">
      <c r="B26" s="57" t="inlineStr">
        <is>
          <t xml:space="preserve">  CARDS &amp; FEES</t>
        </is>
      </c>
    </row>
    <row r="27">
      <c r="B27" s="78" t="inlineStr">
        <is>
          <t>Net Card Profit</t>
        </is>
      </c>
      <c r="E27" s="79">
        <f>SUM(Cards!K6:K30)</f>
        <v/>
      </c>
    </row>
    <row r="28">
      <c r="B28" s="78" t="inlineStr">
        <is>
          <t>3% Fee Spend (Total)</t>
        </is>
      </c>
      <c r="E28" s="79">
        <f>'3% Fee Tracker'!G61</f>
        <v/>
      </c>
    </row>
    <row r="29">
      <c r="B29" s="78" t="inlineStr">
        <is>
          <t>3% Fee Paid (Total)</t>
        </is>
      </c>
      <c r="E29" s="79">
        <f>'3% Fee Tracker'!I61</f>
        <v/>
      </c>
    </row>
    <row r="30">
      <c r="B30" s="78" t="inlineStr">
        <is>
          <t>3% Fee Net Value</t>
        </is>
      </c>
      <c r="E30" s="79">
        <f>'3% Fee Tracker'!L61</f>
        <v/>
      </c>
    </row>
  </sheetData>
  <mergeCells count="36">
    <mergeCell ref="F11:G11"/>
    <mergeCell ref="D10:E10"/>
    <mergeCell ref="B7:C7"/>
    <mergeCell ref="F10:G10"/>
    <mergeCell ref="B17:J17"/>
    <mergeCell ref="B29:D29"/>
    <mergeCell ref="H11:J11"/>
    <mergeCell ref="H7:J7"/>
    <mergeCell ref="F7:G7"/>
    <mergeCell ref="B28:D28"/>
    <mergeCell ref="B11:C11"/>
    <mergeCell ref="E29:F29"/>
    <mergeCell ref="D11:E11"/>
    <mergeCell ref="D13:E13"/>
    <mergeCell ref="H13:J13"/>
    <mergeCell ref="E28:F28"/>
    <mergeCell ref="B14:C14"/>
    <mergeCell ref="B30:D30"/>
    <mergeCell ref="B8:C8"/>
    <mergeCell ref="B6:J6"/>
    <mergeCell ref="F8:G8"/>
    <mergeCell ref="B13:C13"/>
    <mergeCell ref="E30:F30"/>
    <mergeCell ref="D7:E7"/>
    <mergeCell ref="H14:J14"/>
    <mergeCell ref="B10:C10"/>
    <mergeCell ref="H8:J8"/>
    <mergeCell ref="B26:J26"/>
    <mergeCell ref="E27:F27"/>
    <mergeCell ref="F13:G13"/>
    <mergeCell ref="D8:E8"/>
    <mergeCell ref="H10:J10"/>
    <mergeCell ref="B27:D27"/>
    <mergeCell ref="D14:E14"/>
    <mergeCell ref="F14:G14"/>
    <mergeCell ref="B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68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22" customWidth="1" min="3" max="3"/>
    <col width="22" customWidth="1" min="4" max="4"/>
    <col width="12" customWidth="1" min="5" max="5"/>
    <col width="11" customWidth="1" min="6" max="6"/>
    <col width="13" customWidth="1" min="7" max="7"/>
    <col width="13" customWidth="1" min="8" max="8"/>
    <col width="11" customWidth="1" min="9" max="9"/>
    <col width="12" customWidth="1" min="10" max="10"/>
    <col width="9" customWidth="1" min="11" max="11"/>
    <col width="30" customWidth="1" min="12" max="12"/>
  </cols>
  <sheetData>
    <row r="2" ht="42" customHeight="1">
      <c r="B2" s="54" t="inlineStr">
        <is>
          <t>SINGAPORE 2026</t>
        </is>
      </c>
    </row>
    <row r="4" ht="22" customHeight="1">
      <c r="B4" s="80" t="inlineStr">
        <is>
          <t>Trip Name</t>
        </is>
      </c>
      <c r="C4" s="81" t="inlineStr">
        <is>
          <t>Singapore Trip</t>
        </is>
      </c>
      <c r="E4" s="80" t="inlineStr">
        <is>
          <t>Dates</t>
        </is>
      </c>
      <c r="F4" s="81" t="inlineStr">
        <is>
          <t>Apr 15 - Apr 26, 2026</t>
        </is>
      </c>
      <c r="I4" s="80" t="inlineStr">
        <is>
          <t>Notes</t>
        </is>
      </c>
      <c r="J4" s="81" t="inlineStr">
        <is>
          <t>Singapore + Fuzhou with kids</t>
        </is>
      </c>
    </row>
    <row r="6" ht="26" customHeight="1">
      <c r="B6" s="57" t="inlineStr">
        <is>
          <t xml:space="preserve">  TRIP SUMMARY</t>
        </is>
      </c>
    </row>
    <row r="7">
      <c r="B7" s="58" t="inlineStr">
        <is>
          <t>Total Trip Cost</t>
        </is>
      </c>
      <c r="E7" s="58" t="inlineStr">
        <is>
          <t>Cash on Redemptions</t>
        </is>
      </c>
      <c r="H7" s="58" t="inlineStr">
        <is>
          <t>Activities Cash</t>
        </is>
      </c>
      <c r="J7" s="58" t="inlineStr">
        <is>
          <t>Points Used</t>
        </is>
      </c>
    </row>
    <row r="8" ht="28" customHeight="1">
      <c r="B8" s="59">
        <f>SUM(G18:G32)+SUM(G36:G50)+SUM(H54:H68)</f>
        <v/>
      </c>
      <c r="E8" s="59">
        <f>SUM(G18:G32)+SUM(G36:G50)</f>
        <v/>
      </c>
      <c r="H8" s="59">
        <f>SUM(H54:H68)</f>
        <v/>
      </c>
      <c r="J8" s="60">
        <f>SUM(F18:F32)+SUM(F36:F50)</f>
        <v/>
      </c>
    </row>
    <row r="10">
      <c r="B10" s="58" t="inlineStr">
        <is>
          <t>Sticker Value</t>
        </is>
      </c>
      <c r="E10" s="58" t="inlineStr">
        <is>
          <t>Total Savings</t>
        </is>
      </c>
      <c r="H10" s="58" t="inlineStr">
        <is>
          <t>Blended CPP</t>
        </is>
      </c>
      <c r="J10" s="58" t="inlineStr">
        <is>
          <t>% Off Sticker</t>
        </is>
      </c>
    </row>
    <row r="11" ht="28" customHeight="1">
      <c r="B11" s="59">
        <f>SUM(H18:H32)+SUM(H36:H50)</f>
        <v/>
      </c>
      <c r="E11" s="59">
        <f>IFERROR((SUM(H18:H32)+SUM(H36:H50))-(SUM(G18:G32)+SUM(G36:G50)),0)</f>
        <v/>
      </c>
      <c r="H11" s="61">
        <f>IFERROR(E11/J8*100,0)</f>
        <v/>
      </c>
      <c r="J11" s="62">
        <f>IFERROR(E11/B11,0)</f>
        <v/>
      </c>
    </row>
    <row r="13">
      <c r="B13" s="58" t="inlineStr">
        <is>
          <t>Airline Points</t>
        </is>
      </c>
      <c r="E13" s="58" t="inlineStr">
        <is>
          <t>Airline CPP</t>
        </is>
      </c>
      <c r="H13" s="58" t="inlineStr">
        <is>
          <t>Hotel Points</t>
        </is>
      </c>
      <c r="J13" s="58" t="inlineStr">
        <is>
          <t>Hotel CPP</t>
        </is>
      </c>
    </row>
    <row r="14" ht="28" customHeight="1">
      <c r="B14" s="60">
        <f>SUM(F18:F32)</f>
        <v/>
      </c>
      <c r="E14" s="61">
        <f>IFERROR((SUM(H18:H32)-SUM(G18:G32))/SUM(F18:F32)*100,0)</f>
        <v/>
      </c>
      <c r="H14" s="60">
        <f>SUM(F36:F50)</f>
        <v/>
      </c>
      <c r="J14" s="61">
        <f>IFERROR((SUM(H36:H50)-SUM(G36:G50))/SUM(F36:F50)*100,0)</f>
        <v/>
      </c>
    </row>
    <row r="16" ht="26" customHeight="1">
      <c r="B16" s="57" t="inlineStr">
        <is>
          <t xml:space="preserve">  FLIGHTS</t>
        </is>
      </c>
    </row>
    <row r="17" ht="32" customHeight="1">
      <c r="B17" s="63" t="inlineStr">
        <is>
          <t>Date</t>
        </is>
      </c>
      <c r="C17" s="63" t="inlineStr">
        <is>
          <t>Airline</t>
        </is>
      </c>
      <c r="D17" s="63" t="inlineStr">
        <is>
          <t>Route</t>
        </is>
      </c>
      <c r="E17" s="63" t="inlineStr">
        <is>
          <t>Class</t>
        </is>
      </c>
      <c r="F17" s="63" t="inlineStr">
        <is>
          <t>Points</t>
        </is>
      </c>
      <c r="G17" s="63" t="inlineStr">
        <is>
          <t>Tax + Fee ($)</t>
        </is>
      </c>
      <c r="H17" s="63" t="inlineStr">
        <is>
          <t>Sticker ($)</t>
        </is>
      </c>
      <c r="I17" s="63" t="inlineStr">
        <is>
          <t>CPP (¢)</t>
        </is>
      </c>
      <c r="J17" s="63" t="inlineStr">
        <is>
          <t>Savings ($)</t>
        </is>
      </c>
      <c r="K17" s="63" t="inlineStr">
        <is>
          <t>% Off</t>
        </is>
      </c>
      <c r="L17" s="63" t="inlineStr">
        <is>
          <t>Notes</t>
        </is>
      </c>
    </row>
    <row r="18">
      <c r="B18" s="82" t="n">
        <v>46127</v>
      </c>
      <c r="C18" s="83" t="inlineStr">
        <is>
          <t>SQ via Aeroplan</t>
        </is>
      </c>
      <c r="D18" s="83" t="inlineStr">
        <is>
          <t>JFK-SIN</t>
        </is>
      </c>
      <c r="E18" s="83" t="inlineStr">
        <is>
          <t>Business</t>
        </is>
      </c>
      <c r="F18" s="66" t="n">
        <v>140000</v>
      </c>
      <c r="G18" s="67" t="n">
        <v>589.01</v>
      </c>
      <c r="H18" s="67" t="n">
        <v>8390</v>
      </c>
      <c r="I18" s="68">
        <f>IF(OR(F18="",F18=0,H18="",H18=0),"",(H18-G18)/F18*100)</f>
        <v/>
      </c>
      <c r="J18" s="67">
        <f>IF(OR(H18="",H18=0),"",MAX(H18-G18,0))</f>
        <v/>
      </c>
      <c r="K18" s="84">
        <f>IF(OR(H18="",H18=0),"",MAX((H18-G18)/H18,0))</f>
        <v/>
      </c>
      <c r="L18" s="83" t="inlineStr">
        <is>
          <t>Aeroplan award</t>
        </is>
      </c>
    </row>
    <row r="19">
      <c r="B19" s="85" t="n">
        <v>46127</v>
      </c>
      <c r="C19" s="86" t="inlineStr">
        <is>
          <t>SQ via KrisFlyer</t>
        </is>
      </c>
      <c r="D19" s="86" t="inlineStr">
        <is>
          <t>JFK-SIN</t>
        </is>
      </c>
      <c r="E19" s="86" t="inlineStr">
        <is>
          <t>Business</t>
        </is>
      </c>
      <c r="F19" s="71" t="n">
        <v>223000</v>
      </c>
      <c r="G19" s="72" t="n">
        <v>11.2</v>
      </c>
      <c r="H19" s="72" t="n">
        <v>8390</v>
      </c>
      <c r="I19" s="73">
        <f>IF(OR(F19="",F19=0,H19="",H19=0),"",(H19-G19)/F19*100)</f>
        <v/>
      </c>
      <c r="J19" s="72">
        <f>IF(OR(H19="",H19=0),"",MAX(H19-G19,0))</f>
        <v/>
      </c>
      <c r="K19" s="87">
        <f>IF(OR(H19="",H19=0),"",MAX((H19-G19)/H19,0))</f>
        <v/>
      </c>
      <c r="L19" s="86" t="inlineStr">
        <is>
          <t>KrisFlyer</t>
        </is>
      </c>
    </row>
    <row r="20">
      <c r="B20" s="82" t="n">
        <v>46146</v>
      </c>
      <c r="C20" s="83" t="inlineStr">
        <is>
          <t>SQ via Aeroplan</t>
        </is>
      </c>
      <c r="D20" s="83" t="inlineStr">
        <is>
          <t>SIN-JFK</t>
        </is>
      </c>
      <c r="E20" s="83" t="inlineStr">
        <is>
          <t>Business</t>
        </is>
      </c>
      <c r="F20" s="66" t="n">
        <v>140000</v>
      </c>
      <c r="G20" s="67" t="n">
        <v>717</v>
      </c>
      <c r="H20" s="67" t="n">
        <v>8390</v>
      </c>
      <c r="I20" s="68">
        <f>IF(OR(F20="",F20=0,H20="",H20=0),"",(H20-G20)/F20*100)</f>
        <v/>
      </c>
      <c r="J20" s="67">
        <f>IF(OR(H20="",H20=0),"",MAX(H20-G20,0))</f>
        <v/>
      </c>
      <c r="K20" s="84">
        <f>IF(OR(H20="",H20=0),"",MAX((H20-G20)/H20,0))</f>
        <v/>
      </c>
      <c r="L20" s="83" t="inlineStr">
        <is>
          <t>Aeroplan return</t>
        </is>
      </c>
    </row>
    <row r="21">
      <c r="B21" s="85" t="n">
        <v>46146</v>
      </c>
      <c r="C21" s="86" t="inlineStr">
        <is>
          <t>SQ via KrisFlyer</t>
        </is>
      </c>
      <c r="D21" s="86" t="inlineStr">
        <is>
          <t>SIN-JFK</t>
        </is>
      </c>
      <c r="E21" s="86" t="inlineStr">
        <is>
          <t>Business</t>
        </is>
      </c>
      <c r="F21" s="71" t="n">
        <v>223000</v>
      </c>
      <c r="G21" s="72" t="n">
        <v>130.5</v>
      </c>
      <c r="H21" s="72" t="n">
        <v>8390</v>
      </c>
      <c r="I21" s="73">
        <f>IF(OR(F21="",F21=0,H21="",H21=0),"",(H21-G21)/F21*100)</f>
        <v/>
      </c>
      <c r="J21" s="72">
        <f>IF(OR(H21="",H21=0),"",MAX(H21-G21,0))</f>
        <v/>
      </c>
      <c r="K21" s="87">
        <f>IF(OR(H21="",H21=0),"",MAX((H21-G21)/H21,0))</f>
        <v/>
      </c>
      <c r="L21" s="86" t="inlineStr">
        <is>
          <t>KrisFlyer return</t>
        </is>
      </c>
    </row>
    <row r="22">
      <c r="B22" s="82" t="n">
        <v>46132</v>
      </c>
      <c r="C22" s="83" t="inlineStr">
        <is>
          <t>SIN-FOC (cash)</t>
        </is>
      </c>
      <c r="D22" s="83" t="inlineStr">
        <is>
          <t>Singapore-Fuzhou</t>
        </is>
      </c>
      <c r="E22" s="83" t="inlineStr">
        <is>
          <t>Economy</t>
        </is>
      </c>
      <c r="F22" s="66" t="n">
        <v>0</v>
      </c>
      <c r="G22" s="67" t="n">
        <v>1712.2</v>
      </c>
      <c r="H22" s="67" t="n">
        <v>1712.2</v>
      </c>
      <c r="I22" s="68">
        <f>IF(OR(F22="",F22=0,H22="",H22=0),"",(H22-G22)/F22*100)</f>
        <v/>
      </c>
      <c r="J22" s="67">
        <f>IF(OR(H22="",H22=0),"",MAX(H22-G22,0))</f>
        <v/>
      </c>
      <c r="K22" s="84">
        <f>IF(OR(H22="",H22=0),"",MAX((H22-G22)/H22,0))</f>
        <v/>
      </c>
      <c r="L22" s="83" t="inlineStr">
        <is>
          <t>Paid cash</t>
        </is>
      </c>
    </row>
    <row r="23">
      <c r="B23" s="85" t="n"/>
      <c r="C23" s="86" t="n"/>
      <c r="D23" s="86" t="n"/>
      <c r="E23" s="86" t="n"/>
      <c r="F23" s="71" t="n"/>
      <c r="G23" s="72" t="n"/>
      <c r="H23" s="72" t="n"/>
      <c r="I23" s="73">
        <f>IF(OR(F23="",F23=0,H23="",H23=0),"",(H23-G23)/F23*100)</f>
        <v/>
      </c>
      <c r="J23" s="72">
        <f>IF(OR(H23="",H23=0),"",MAX(H23-G23,0))</f>
        <v/>
      </c>
      <c r="K23" s="87">
        <f>IF(OR(H23="",H23=0),"",MAX((H23-G23)/H23,0))</f>
        <v/>
      </c>
      <c r="L23" s="86" t="n"/>
    </row>
    <row r="24">
      <c r="B24" s="82" t="n"/>
      <c r="C24" s="83" t="n"/>
      <c r="D24" s="83" t="n"/>
      <c r="E24" s="83" t="n"/>
      <c r="F24" s="66" t="n"/>
      <c r="G24" s="67" t="n"/>
      <c r="H24" s="67" t="n"/>
      <c r="I24" s="68">
        <f>IF(OR(F24="",F24=0,H24="",H24=0),"",(H24-G24)/F24*100)</f>
        <v/>
      </c>
      <c r="J24" s="67">
        <f>IF(OR(H24="",H24=0),"",MAX(H24-G24,0))</f>
        <v/>
      </c>
      <c r="K24" s="84">
        <f>IF(OR(H24="",H24=0),"",MAX((H24-G24)/H24,0))</f>
        <v/>
      </c>
      <c r="L24" s="83" t="n"/>
    </row>
    <row r="25">
      <c r="B25" s="85" t="n"/>
      <c r="C25" s="86" t="n"/>
      <c r="D25" s="86" t="n"/>
      <c r="E25" s="86" t="n"/>
      <c r="F25" s="71" t="n"/>
      <c r="G25" s="72" t="n"/>
      <c r="H25" s="72" t="n"/>
      <c r="I25" s="73">
        <f>IF(OR(F25="",F25=0,H25="",H25=0),"",(H25-G25)/F25*100)</f>
        <v/>
      </c>
      <c r="J25" s="72">
        <f>IF(OR(H25="",H25=0),"",MAX(H25-G25,0))</f>
        <v/>
      </c>
      <c r="K25" s="87">
        <f>IF(OR(H25="",H25=0),"",MAX((H25-G25)/H25,0))</f>
        <v/>
      </c>
      <c r="L25" s="86" t="n"/>
    </row>
    <row r="26">
      <c r="B26" s="82" t="n"/>
      <c r="C26" s="83" t="n"/>
      <c r="D26" s="83" t="n"/>
      <c r="E26" s="83" t="n"/>
      <c r="F26" s="66" t="n"/>
      <c r="G26" s="67" t="n"/>
      <c r="H26" s="67" t="n"/>
      <c r="I26" s="68">
        <f>IF(OR(F26="",F26=0,H26="",H26=0),"",(H26-G26)/F26*100)</f>
        <v/>
      </c>
      <c r="J26" s="67">
        <f>IF(OR(H26="",H26=0),"",MAX(H26-G26,0))</f>
        <v/>
      </c>
      <c r="K26" s="84">
        <f>IF(OR(H26="",H26=0),"",MAX((H26-G26)/H26,0))</f>
        <v/>
      </c>
      <c r="L26" s="83" t="n"/>
    </row>
    <row r="27">
      <c r="B27" s="85" t="n"/>
      <c r="C27" s="86" t="n"/>
      <c r="D27" s="86" t="n"/>
      <c r="E27" s="86" t="n"/>
      <c r="F27" s="71" t="n"/>
      <c r="G27" s="72" t="n"/>
      <c r="H27" s="72" t="n"/>
      <c r="I27" s="73">
        <f>IF(OR(F27="",F27=0,H27="",H27=0),"",(H27-G27)/F27*100)</f>
        <v/>
      </c>
      <c r="J27" s="72">
        <f>IF(OR(H27="",H27=0),"",MAX(H27-G27,0))</f>
        <v/>
      </c>
      <c r="K27" s="87">
        <f>IF(OR(H27="",H27=0),"",MAX((H27-G27)/H27,0))</f>
        <v/>
      </c>
      <c r="L27" s="86" t="n"/>
    </row>
    <row r="28">
      <c r="B28" s="82" t="n"/>
      <c r="C28" s="83" t="n"/>
      <c r="D28" s="83" t="n"/>
      <c r="E28" s="83" t="n"/>
      <c r="F28" s="66" t="n"/>
      <c r="G28" s="67" t="n"/>
      <c r="H28" s="67" t="n"/>
      <c r="I28" s="68">
        <f>IF(OR(F28="",F28=0,H28="",H28=0),"",(H28-G28)/F28*100)</f>
        <v/>
      </c>
      <c r="J28" s="67">
        <f>IF(OR(H28="",H28=0),"",MAX(H28-G28,0))</f>
        <v/>
      </c>
      <c r="K28" s="84">
        <f>IF(OR(H28="",H28=0),"",MAX((H28-G28)/H28,0))</f>
        <v/>
      </c>
      <c r="L28" s="83" t="n"/>
    </row>
    <row r="29">
      <c r="B29" s="85" t="n"/>
      <c r="C29" s="86" t="n"/>
      <c r="D29" s="86" t="n"/>
      <c r="E29" s="86" t="n"/>
      <c r="F29" s="71" t="n"/>
      <c r="G29" s="72" t="n"/>
      <c r="H29" s="72" t="n"/>
      <c r="I29" s="73">
        <f>IF(OR(F29="",F29=0,H29="",H29=0),"",(H29-G29)/F29*100)</f>
        <v/>
      </c>
      <c r="J29" s="72">
        <f>IF(OR(H29="",H29=0),"",MAX(H29-G29,0))</f>
        <v/>
      </c>
      <c r="K29" s="87">
        <f>IF(OR(H29="",H29=0),"",MAX((H29-G29)/H29,0))</f>
        <v/>
      </c>
      <c r="L29" s="86" t="n"/>
    </row>
    <row r="30">
      <c r="B30" s="82" t="n"/>
      <c r="C30" s="83" t="n"/>
      <c r="D30" s="83" t="n"/>
      <c r="E30" s="83" t="n"/>
      <c r="F30" s="66" t="n"/>
      <c r="G30" s="67" t="n"/>
      <c r="H30" s="67" t="n"/>
      <c r="I30" s="68">
        <f>IF(OR(F30="",F30=0,H30="",H30=0),"",(H30-G30)/F30*100)</f>
        <v/>
      </c>
      <c r="J30" s="67">
        <f>IF(OR(H30="",H30=0),"",MAX(H30-G30,0))</f>
        <v/>
      </c>
      <c r="K30" s="84">
        <f>IF(OR(H30="",H30=0),"",MAX((H30-G30)/H30,0))</f>
        <v/>
      </c>
      <c r="L30" s="83" t="n"/>
    </row>
    <row r="31">
      <c r="B31" s="85" t="n"/>
      <c r="C31" s="86" t="n"/>
      <c r="D31" s="86" t="n"/>
      <c r="E31" s="86" t="n"/>
      <c r="F31" s="71" t="n"/>
      <c r="G31" s="72" t="n"/>
      <c r="H31" s="72" t="n"/>
      <c r="I31" s="73">
        <f>IF(OR(F31="",F31=0,H31="",H31=0),"",(H31-G31)/F31*100)</f>
        <v/>
      </c>
      <c r="J31" s="72">
        <f>IF(OR(H31="",H31=0),"",MAX(H31-G31,0))</f>
        <v/>
      </c>
      <c r="K31" s="87">
        <f>IF(OR(H31="",H31=0),"",MAX((H31-G31)/H31,0))</f>
        <v/>
      </c>
      <c r="L31" s="86" t="n"/>
    </row>
    <row r="32">
      <c r="B32" s="82" t="n"/>
      <c r="C32" s="83" t="n"/>
      <c r="D32" s="83" t="n"/>
      <c r="E32" s="83" t="n"/>
      <c r="F32" s="66" t="n"/>
      <c r="G32" s="67" t="n"/>
      <c r="H32" s="67" t="n"/>
      <c r="I32" s="68">
        <f>IF(OR(F32="",F32=0,H32="",H32=0),"",(H32-G32)/F32*100)</f>
        <v/>
      </c>
      <c r="J32" s="67">
        <f>IF(OR(H32="",H32=0),"",MAX(H32-G32,0))</f>
        <v/>
      </c>
      <c r="K32" s="84">
        <f>IF(OR(H32="",H32=0),"",MAX((H32-G32)/H32,0))</f>
        <v/>
      </c>
      <c r="L32" s="83" t="n"/>
    </row>
    <row r="34" ht="26" customHeight="1">
      <c r="B34" s="57" t="inlineStr">
        <is>
          <t xml:space="preserve">  HOTELS</t>
        </is>
      </c>
    </row>
    <row r="35" ht="32" customHeight="1">
      <c r="B35" s="63" t="inlineStr">
        <is>
          <t>Check-in</t>
        </is>
      </c>
      <c r="C35" s="63" t="inlineStr">
        <is>
          <t>Hotel</t>
        </is>
      </c>
      <c r="D35" s="63" t="inlineStr">
        <is>
          <t>Location</t>
        </is>
      </c>
      <c r="E35" s="63" t="inlineStr">
        <is>
          <t>Nights</t>
        </is>
      </c>
      <c r="F35" s="63" t="inlineStr">
        <is>
          <t>Points</t>
        </is>
      </c>
      <c r="G35" s="63" t="inlineStr">
        <is>
          <t>Tax + Fee ($)</t>
        </is>
      </c>
      <c r="H35" s="63" t="inlineStr">
        <is>
          <t>Sticker ($)</t>
        </is>
      </c>
      <c r="I35" s="63" t="inlineStr">
        <is>
          <t>CPP (¢)</t>
        </is>
      </c>
      <c r="J35" s="63" t="inlineStr">
        <is>
          <t>Savings ($)</t>
        </is>
      </c>
      <c r="K35" s="63" t="inlineStr">
        <is>
          <t>% Off</t>
        </is>
      </c>
      <c r="L35" s="63" t="inlineStr">
        <is>
          <t>Notes</t>
        </is>
      </c>
    </row>
    <row r="36">
      <c r="B36" s="82" t="n">
        <v>46127</v>
      </c>
      <c r="C36" s="83" t="inlineStr">
        <is>
          <t>Shangri-La SIN</t>
        </is>
      </c>
      <c r="D36" s="83" t="inlineStr">
        <is>
          <t>Singapore</t>
        </is>
      </c>
      <c r="E36" s="88" t="n">
        <v>4</v>
      </c>
      <c r="F36" s="66" t="n">
        <v>0</v>
      </c>
      <c r="G36" s="67" t="n">
        <v>357.44</v>
      </c>
      <c r="H36" s="67" t="n">
        <v>1080.57</v>
      </c>
      <c r="I36" s="68">
        <f>IF(OR(F36="",F36=0,H36="",H36=0),"",(H36-G36)/F36*100)</f>
        <v/>
      </c>
      <c r="J36" s="67">
        <f>IF(OR(H36="",H36=0),"",MAX(H36-G36,0))</f>
        <v/>
      </c>
      <c r="K36" s="84">
        <f>IF(OR(H36="",H36=0),"",MAX((H36-G36)/H36,0))</f>
        <v/>
      </c>
      <c r="L36" s="83" t="inlineStr">
        <is>
          <t>FHR Credit</t>
        </is>
      </c>
    </row>
    <row r="37">
      <c r="B37" s="85" t="n">
        <v>46131</v>
      </c>
      <c r="C37" s="86" t="inlineStr">
        <is>
          <t>Shangri-La FOC</t>
        </is>
      </c>
      <c r="D37" s="86" t="inlineStr">
        <is>
          <t>Fuzhou</t>
        </is>
      </c>
      <c r="E37" s="89" t="n">
        <v>4</v>
      </c>
      <c r="F37" s="71" t="n">
        <v>0</v>
      </c>
      <c r="G37" s="72" t="n">
        <v>30</v>
      </c>
      <c r="H37" s="72" t="n">
        <v>330</v>
      </c>
      <c r="I37" s="73">
        <f>IF(OR(F37="",F37=0,H37="",H37=0),"",(H37-G37)/F37*100)</f>
        <v/>
      </c>
      <c r="J37" s="72">
        <f>IF(OR(H37="",H37=0),"",MAX(H37-G37,0))</f>
        <v/>
      </c>
      <c r="K37" s="87">
        <f>IF(OR(H37="",H37=0),"",MAX((H37-G37)/H37,0))</f>
        <v/>
      </c>
      <c r="L37" s="86" t="inlineStr">
        <is>
          <t>Cap X credit</t>
        </is>
      </c>
    </row>
    <row r="38">
      <c r="B38" s="82" t="n">
        <v>46135</v>
      </c>
      <c r="C38" s="83" t="inlineStr">
        <is>
          <t>Hilton FOC</t>
        </is>
      </c>
      <c r="D38" s="83" t="inlineStr">
        <is>
          <t>Fuzhou</t>
        </is>
      </c>
      <c r="E38" s="88" t="n">
        <v>3</v>
      </c>
      <c r="F38" s="66" t="n">
        <v>0</v>
      </c>
      <c r="G38" s="67" t="n">
        <v>800</v>
      </c>
      <c r="H38" s="67" t="n">
        <v>800</v>
      </c>
      <c r="I38" s="68">
        <f>IF(OR(F38="",F38=0,H38="",H38=0),"",(H38-G38)/F38*100)</f>
        <v/>
      </c>
      <c r="J38" s="67">
        <f>IF(OR(H38="",H38=0),"",MAX(H38-G38,0))</f>
        <v/>
      </c>
      <c r="K38" s="84">
        <f>IF(OR(H38="",H38=0),"",MAX((H38-G38)/H38,0))</f>
        <v/>
      </c>
      <c r="L38" s="83" t="inlineStr">
        <is>
          <t>Cash</t>
        </is>
      </c>
    </row>
    <row r="39">
      <c r="B39" s="85" t="n">
        <v>46145</v>
      </c>
      <c r="C39" s="86" t="inlineStr">
        <is>
          <t>Shangri-La SIN</t>
        </is>
      </c>
      <c r="D39" s="86" t="inlineStr">
        <is>
          <t>Singapore</t>
        </is>
      </c>
      <c r="E39" s="89" t="n">
        <v>1</v>
      </c>
      <c r="F39" s="71" t="n">
        <v>0</v>
      </c>
      <c r="G39" s="72" t="n">
        <v>17.59</v>
      </c>
      <c r="H39" s="72" t="n">
        <v>1080.57</v>
      </c>
      <c r="I39" s="73">
        <f>IF(OR(F39="",F39=0,H39="",H39=0),"",(H39-G39)/F39*100)</f>
        <v/>
      </c>
      <c r="J39" s="72">
        <f>IF(OR(H39="",H39=0),"",MAX(H39-G39,0))</f>
        <v/>
      </c>
      <c r="K39" s="87">
        <f>IF(OR(H39="",H39=0),"",MAX((H39-G39)/H39,0))</f>
        <v/>
      </c>
      <c r="L39" s="86" t="inlineStr">
        <is>
          <t>FHR Credit</t>
        </is>
      </c>
    </row>
    <row r="40">
      <c r="B40" s="82" t="n"/>
      <c r="C40" s="83" t="n"/>
      <c r="D40" s="83" t="n"/>
      <c r="E40" s="88" t="n"/>
      <c r="F40" s="66" t="n"/>
      <c r="G40" s="67" t="n"/>
      <c r="H40" s="67" t="n"/>
      <c r="I40" s="68">
        <f>IF(OR(F40="",F40=0,H40="",H40=0),"",(H40-G40)/F40*100)</f>
        <v/>
      </c>
      <c r="J40" s="67">
        <f>IF(OR(H40="",H40=0),"",MAX(H40-G40,0))</f>
        <v/>
      </c>
      <c r="K40" s="84">
        <f>IF(OR(H40="",H40=0),"",MAX((H40-G40)/H40,0))</f>
        <v/>
      </c>
      <c r="L40" s="83" t="n"/>
    </row>
    <row r="41">
      <c r="B41" s="85" t="n"/>
      <c r="C41" s="86" t="n"/>
      <c r="D41" s="86" t="n"/>
      <c r="E41" s="89" t="n"/>
      <c r="F41" s="71" t="n"/>
      <c r="G41" s="72" t="n"/>
      <c r="H41" s="72" t="n"/>
      <c r="I41" s="73">
        <f>IF(OR(F41="",F41=0,H41="",H41=0),"",(H41-G41)/F41*100)</f>
        <v/>
      </c>
      <c r="J41" s="72">
        <f>IF(OR(H41="",H41=0),"",MAX(H41-G41,0))</f>
        <v/>
      </c>
      <c r="K41" s="87">
        <f>IF(OR(H41="",H41=0),"",MAX((H41-G41)/H41,0))</f>
        <v/>
      </c>
      <c r="L41" s="86" t="n"/>
    </row>
    <row r="42">
      <c r="B42" s="82" t="n"/>
      <c r="C42" s="83" t="n"/>
      <c r="D42" s="83" t="n"/>
      <c r="E42" s="88" t="n"/>
      <c r="F42" s="66" t="n"/>
      <c r="G42" s="67" t="n"/>
      <c r="H42" s="67" t="n"/>
      <c r="I42" s="68">
        <f>IF(OR(F42="",F42=0,H42="",H42=0),"",(H42-G42)/F42*100)</f>
        <v/>
      </c>
      <c r="J42" s="67">
        <f>IF(OR(H42="",H42=0),"",MAX(H42-G42,0))</f>
        <v/>
      </c>
      <c r="K42" s="84">
        <f>IF(OR(H42="",H42=0),"",MAX((H42-G42)/H42,0))</f>
        <v/>
      </c>
      <c r="L42" s="83" t="n"/>
    </row>
    <row r="43">
      <c r="B43" s="85" t="n"/>
      <c r="C43" s="86" t="n"/>
      <c r="D43" s="86" t="n"/>
      <c r="E43" s="89" t="n"/>
      <c r="F43" s="71" t="n"/>
      <c r="G43" s="72" t="n"/>
      <c r="H43" s="72" t="n"/>
      <c r="I43" s="73">
        <f>IF(OR(F43="",F43=0,H43="",H43=0),"",(H43-G43)/F43*100)</f>
        <v/>
      </c>
      <c r="J43" s="72">
        <f>IF(OR(H43="",H43=0),"",MAX(H43-G43,0))</f>
        <v/>
      </c>
      <c r="K43" s="87">
        <f>IF(OR(H43="",H43=0),"",MAX((H43-G43)/H43,0))</f>
        <v/>
      </c>
      <c r="L43" s="86" t="n"/>
    </row>
    <row r="44">
      <c r="B44" s="82" t="n"/>
      <c r="C44" s="83" t="n"/>
      <c r="D44" s="83" t="n"/>
      <c r="E44" s="88" t="n"/>
      <c r="F44" s="66" t="n"/>
      <c r="G44" s="67" t="n"/>
      <c r="H44" s="67" t="n"/>
      <c r="I44" s="68">
        <f>IF(OR(F44="",F44=0,H44="",H44=0),"",(H44-G44)/F44*100)</f>
        <v/>
      </c>
      <c r="J44" s="67">
        <f>IF(OR(H44="",H44=0),"",MAX(H44-G44,0))</f>
        <v/>
      </c>
      <c r="K44" s="84">
        <f>IF(OR(H44="",H44=0),"",MAX((H44-G44)/H44,0))</f>
        <v/>
      </c>
      <c r="L44" s="83" t="n"/>
    </row>
    <row r="45">
      <c r="B45" s="85" t="n"/>
      <c r="C45" s="86" t="n"/>
      <c r="D45" s="86" t="n"/>
      <c r="E45" s="89" t="n"/>
      <c r="F45" s="71" t="n"/>
      <c r="G45" s="72" t="n"/>
      <c r="H45" s="72" t="n"/>
      <c r="I45" s="73">
        <f>IF(OR(F45="",F45=0,H45="",H45=0),"",(H45-G45)/F45*100)</f>
        <v/>
      </c>
      <c r="J45" s="72">
        <f>IF(OR(H45="",H45=0),"",MAX(H45-G45,0))</f>
        <v/>
      </c>
      <c r="K45" s="87">
        <f>IF(OR(H45="",H45=0),"",MAX((H45-G45)/H45,0))</f>
        <v/>
      </c>
      <c r="L45" s="86" t="n"/>
    </row>
    <row r="46">
      <c r="B46" s="82" t="n"/>
      <c r="C46" s="83" t="n"/>
      <c r="D46" s="83" t="n"/>
      <c r="E46" s="88" t="n"/>
      <c r="F46" s="66" t="n"/>
      <c r="G46" s="67" t="n"/>
      <c r="H46" s="67" t="n"/>
      <c r="I46" s="68">
        <f>IF(OR(F46="",F46=0,H46="",H46=0),"",(H46-G46)/F46*100)</f>
        <v/>
      </c>
      <c r="J46" s="67">
        <f>IF(OR(H46="",H46=0),"",MAX(H46-G46,0))</f>
        <v/>
      </c>
      <c r="K46" s="84">
        <f>IF(OR(H46="",H46=0),"",MAX((H46-G46)/H46,0))</f>
        <v/>
      </c>
      <c r="L46" s="83" t="n"/>
    </row>
    <row r="47">
      <c r="B47" s="85" t="n"/>
      <c r="C47" s="86" t="n"/>
      <c r="D47" s="86" t="n"/>
      <c r="E47" s="89" t="n"/>
      <c r="F47" s="71" t="n"/>
      <c r="G47" s="72" t="n"/>
      <c r="H47" s="72" t="n"/>
      <c r="I47" s="73">
        <f>IF(OR(F47="",F47=0,H47="",H47=0),"",(H47-G47)/F47*100)</f>
        <v/>
      </c>
      <c r="J47" s="72">
        <f>IF(OR(H47="",H47=0),"",MAX(H47-G47,0))</f>
        <v/>
      </c>
      <c r="K47" s="87">
        <f>IF(OR(H47="",H47=0),"",MAX((H47-G47)/H47,0))</f>
        <v/>
      </c>
      <c r="L47" s="86" t="n"/>
    </row>
    <row r="48">
      <c r="B48" s="82" t="n"/>
      <c r="C48" s="83" t="n"/>
      <c r="D48" s="83" t="n"/>
      <c r="E48" s="88" t="n"/>
      <c r="F48" s="66" t="n"/>
      <c r="G48" s="67" t="n"/>
      <c r="H48" s="67" t="n"/>
      <c r="I48" s="68">
        <f>IF(OR(F48="",F48=0,H48="",H48=0),"",(H48-G48)/F48*100)</f>
        <v/>
      </c>
      <c r="J48" s="67">
        <f>IF(OR(H48="",H48=0),"",MAX(H48-G48,0))</f>
        <v/>
      </c>
      <c r="K48" s="84">
        <f>IF(OR(H48="",H48=0),"",MAX((H48-G48)/H48,0))</f>
        <v/>
      </c>
      <c r="L48" s="83" t="n"/>
    </row>
    <row r="49">
      <c r="B49" s="85" t="n"/>
      <c r="C49" s="86" t="n"/>
      <c r="D49" s="86" t="n"/>
      <c r="E49" s="89" t="n"/>
      <c r="F49" s="71" t="n"/>
      <c r="G49" s="72" t="n"/>
      <c r="H49" s="72" t="n"/>
      <c r="I49" s="73">
        <f>IF(OR(F49="",F49=0,H49="",H49=0),"",(H49-G49)/F49*100)</f>
        <v/>
      </c>
      <c r="J49" s="72">
        <f>IF(OR(H49="",H49=0),"",MAX(H49-G49,0))</f>
        <v/>
      </c>
      <c r="K49" s="87">
        <f>IF(OR(H49="",H49=0),"",MAX((H49-G49)/H49,0))</f>
        <v/>
      </c>
      <c r="L49" s="86" t="n"/>
    </row>
    <row r="50">
      <c r="B50" s="82" t="n"/>
      <c r="C50" s="83" t="n"/>
      <c r="D50" s="83" t="n"/>
      <c r="E50" s="88" t="n"/>
      <c r="F50" s="66" t="n"/>
      <c r="G50" s="67" t="n"/>
      <c r="H50" s="67" t="n"/>
      <c r="I50" s="68">
        <f>IF(OR(F50="",F50=0,H50="",H50=0),"",(H50-G50)/F50*100)</f>
        <v/>
      </c>
      <c r="J50" s="67">
        <f>IF(OR(H50="",H50=0),"",MAX(H50-G50,0))</f>
        <v/>
      </c>
      <c r="K50" s="84">
        <f>IF(OR(H50="",H50=0),"",MAX((H50-G50)/H50,0))</f>
        <v/>
      </c>
      <c r="L50" s="83" t="n"/>
    </row>
    <row r="52" ht="26" customHeight="1">
      <c r="B52" s="57" t="inlineStr">
        <is>
          <t xml:space="preserve">  ACTIVITIES &amp; EXPERIENCES</t>
        </is>
      </c>
    </row>
    <row r="53" ht="32" customHeight="1">
      <c r="B53" s="63" t="inlineStr">
        <is>
          <t>Date</t>
        </is>
      </c>
      <c r="C53" s="63" t="inlineStr">
        <is>
          <t>Activity</t>
        </is>
      </c>
      <c r="D53" s="63" t="inlineStr">
        <is>
          <t>Vendor</t>
        </is>
      </c>
      <c r="E53" s="63" t="inlineStr">
        <is>
          <t>Travelers</t>
        </is>
      </c>
      <c r="F53" s="63" t="inlineStr"/>
      <c r="G53" s="63" t="inlineStr"/>
      <c r="H53" s="63" t="inlineStr"/>
      <c r="I53" s="63" t="inlineStr">
        <is>
          <t>Cash ($)</t>
        </is>
      </c>
      <c r="J53" s="63" t="inlineStr">
        <is>
          <t>Currency</t>
        </is>
      </c>
      <c r="K53" s="63" t="inlineStr">
        <is>
          <t>Category</t>
        </is>
      </c>
      <c r="L53" s="63" t="inlineStr">
        <is>
          <t>Notes</t>
        </is>
      </c>
    </row>
    <row r="54">
      <c r="B54" s="82" t="n"/>
      <c r="C54" s="83" t="n"/>
      <c r="D54" s="83" t="n"/>
      <c r="E54" s="88" t="n"/>
      <c r="F54" s="90" t="n"/>
      <c r="G54" s="90" t="n"/>
      <c r="H54" s="90" t="n"/>
      <c r="I54" s="67" t="n"/>
      <c r="J54" s="90" t="n"/>
      <c r="K54" s="90" t="n"/>
      <c r="L54" s="83" t="n"/>
    </row>
    <row r="55">
      <c r="B55" s="85" t="n"/>
      <c r="C55" s="86" t="n"/>
      <c r="D55" s="86" t="n"/>
      <c r="E55" s="89" t="n"/>
      <c r="F55" s="91" t="n"/>
      <c r="G55" s="91" t="n"/>
      <c r="H55" s="91" t="n"/>
      <c r="I55" s="72" t="n"/>
      <c r="J55" s="91" t="n"/>
      <c r="K55" s="91" t="n"/>
      <c r="L55" s="86" t="n"/>
    </row>
    <row r="56">
      <c r="B56" s="82" t="n"/>
      <c r="C56" s="83" t="n"/>
      <c r="D56" s="83" t="n"/>
      <c r="E56" s="88" t="n"/>
      <c r="F56" s="90" t="n"/>
      <c r="G56" s="90" t="n"/>
      <c r="H56" s="90" t="n"/>
      <c r="I56" s="67" t="n"/>
      <c r="J56" s="90" t="n"/>
      <c r="K56" s="90" t="n"/>
      <c r="L56" s="83" t="n"/>
    </row>
    <row r="57">
      <c r="B57" s="85" t="n"/>
      <c r="C57" s="86" t="n"/>
      <c r="D57" s="86" t="n"/>
      <c r="E57" s="89" t="n"/>
      <c r="F57" s="91" t="n"/>
      <c r="G57" s="91" t="n"/>
      <c r="H57" s="91" t="n"/>
      <c r="I57" s="72" t="n"/>
      <c r="J57" s="91" t="n"/>
      <c r="K57" s="91" t="n"/>
      <c r="L57" s="86" t="n"/>
    </row>
    <row r="58">
      <c r="B58" s="82" t="n"/>
      <c r="C58" s="83" t="n"/>
      <c r="D58" s="83" t="n"/>
      <c r="E58" s="88" t="n"/>
      <c r="F58" s="90" t="n"/>
      <c r="G58" s="90" t="n"/>
      <c r="H58" s="90" t="n"/>
      <c r="I58" s="67" t="n"/>
      <c r="J58" s="90" t="n"/>
      <c r="K58" s="90" t="n"/>
      <c r="L58" s="83" t="n"/>
    </row>
    <row r="59">
      <c r="B59" s="85" t="n"/>
      <c r="C59" s="86" t="n"/>
      <c r="D59" s="86" t="n"/>
      <c r="E59" s="89" t="n"/>
      <c r="F59" s="91" t="n"/>
      <c r="G59" s="91" t="n"/>
      <c r="H59" s="91" t="n"/>
      <c r="I59" s="72" t="n"/>
      <c r="J59" s="91" t="n"/>
      <c r="K59" s="91" t="n"/>
      <c r="L59" s="86" t="n"/>
    </row>
    <row r="60">
      <c r="B60" s="82" t="n"/>
      <c r="C60" s="83" t="n"/>
      <c r="D60" s="83" t="n"/>
      <c r="E60" s="88" t="n"/>
      <c r="F60" s="90" t="n"/>
      <c r="G60" s="90" t="n"/>
      <c r="H60" s="90" t="n"/>
      <c r="I60" s="67" t="n"/>
      <c r="J60" s="90" t="n"/>
      <c r="K60" s="90" t="n"/>
      <c r="L60" s="83" t="n"/>
    </row>
    <row r="61">
      <c r="B61" s="85" t="n"/>
      <c r="C61" s="86" t="n"/>
      <c r="D61" s="86" t="n"/>
      <c r="E61" s="89" t="n"/>
      <c r="F61" s="91" t="n"/>
      <c r="G61" s="91" t="n"/>
      <c r="H61" s="91" t="n"/>
      <c r="I61" s="72" t="n"/>
      <c r="J61" s="91" t="n"/>
      <c r="K61" s="91" t="n"/>
      <c r="L61" s="86" t="n"/>
    </row>
    <row r="62">
      <c r="B62" s="82" t="n"/>
      <c r="C62" s="83" t="n"/>
      <c r="D62" s="83" t="n"/>
      <c r="E62" s="88" t="n"/>
      <c r="F62" s="90" t="n"/>
      <c r="G62" s="90" t="n"/>
      <c r="H62" s="90" t="n"/>
      <c r="I62" s="67" t="n"/>
      <c r="J62" s="90" t="n"/>
      <c r="K62" s="90" t="n"/>
      <c r="L62" s="83" t="n"/>
    </row>
    <row r="63">
      <c r="B63" s="85" t="n"/>
      <c r="C63" s="86" t="n"/>
      <c r="D63" s="86" t="n"/>
      <c r="E63" s="89" t="n"/>
      <c r="F63" s="91" t="n"/>
      <c r="G63" s="91" t="n"/>
      <c r="H63" s="91" t="n"/>
      <c r="I63" s="72" t="n"/>
      <c r="J63" s="91" t="n"/>
      <c r="K63" s="91" t="n"/>
      <c r="L63" s="86" t="n"/>
    </row>
    <row r="64">
      <c r="B64" s="82" t="n"/>
      <c r="C64" s="83" t="n"/>
      <c r="D64" s="83" t="n"/>
      <c r="E64" s="88" t="n"/>
      <c r="F64" s="90" t="n"/>
      <c r="G64" s="90" t="n"/>
      <c r="H64" s="90" t="n"/>
      <c r="I64" s="67" t="n"/>
      <c r="J64" s="90" t="n"/>
      <c r="K64" s="90" t="n"/>
      <c r="L64" s="83" t="n"/>
    </row>
    <row r="65">
      <c r="B65" s="85" t="n"/>
      <c r="C65" s="86" t="n"/>
      <c r="D65" s="86" t="n"/>
      <c r="E65" s="89" t="n"/>
      <c r="F65" s="91" t="n"/>
      <c r="G65" s="91" t="n"/>
      <c r="H65" s="91" t="n"/>
      <c r="I65" s="72" t="n"/>
      <c r="J65" s="91" t="n"/>
      <c r="K65" s="91" t="n"/>
      <c r="L65" s="86" t="n"/>
    </row>
    <row r="66">
      <c r="B66" s="82" t="n"/>
      <c r="C66" s="83" t="n"/>
      <c r="D66" s="83" t="n"/>
      <c r="E66" s="88" t="n"/>
      <c r="F66" s="90" t="n"/>
      <c r="G66" s="90" t="n"/>
      <c r="H66" s="90" t="n"/>
      <c r="I66" s="67" t="n"/>
      <c r="J66" s="90" t="n"/>
      <c r="K66" s="90" t="n"/>
      <c r="L66" s="83" t="n"/>
    </row>
    <row r="67">
      <c r="B67" s="85" t="n"/>
      <c r="C67" s="86" t="n"/>
      <c r="D67" s="86" t="n"/>
      <c r="E67" s="89" t="n"/>
      <c r="F67" s="91" t="n"/>
      <c r="G67" s="91" t="n"/>
      <c r="H67" s="91" t="n"/>
      <c r="I67" s="72" t="n"/>
      <c r="J67" s="91" t="n"/>
      <c r="K67" s="91" t="n"/>
      <c r="L67" s="86" t="n"/>
    </row>
    <row r="68">
      <c r="B68" s="82" t="n"/>
      <c r="C68" s="83" t="n"/>
      <c r="D68" s="83" t="n"/>
      <c r="E68" s="88" t="n"/>
      <c r="F68" s="90" t="n"/>
      <c r="G68" s="90" t="n"/>
      <c r="H68" s="90" t="n"/>
      <c r="I68" s="67" t="n"/>
      <c r="J68" s="90" t="n"/>
      <c r="K68" s="90" t="n"/>
      <c r="L68" s="83" t="n"/>
    </row>
  </sheetData>
  <mergeCells count="31">
    <mergeCell ref="B7:C7"/>
    <mergeCell ref="B16:L16"/>
    <mergeCell ref="H10:I10"/>
    <mergeCell ref="J4:L4"/>
    <mergeCell ref="E14:F14"/>
    <mergeCell ref="E8:F8"/>
    <mergeCell ref="J11:L11"/>
    <mergeCell ref="J7:L7"/>
    <mergeCell ref="B52:L52"/>
    <mergeCell ref="B11:C11"/>
    <mergeCell ref="E10:F10"/>
    <mergeCell ref="B2:L2"/>
    <mergeCell ref="B14:C14"/>
    <mergeCell ref="E13:F13"/>
    <mergeCell ref="B8:C8"/>
    <mergeCell ref="B13:C13"/>
    <mergeCell ref="H11:I11"/>
    <mergeCell ref="H7:I7"/>
    <mergeCell ref="B10:C10"/>
    <mergeCell ref="E11:F11"/>
    <mergeCell ref="B34:L34"/>
    <mergeCell ref="F4:H4"/>
    <mergeCell ref="J8:L8"/>
    <mergeCell ref="H13:I13"/>
    <mergeCell ref="H14:I14"/>
    <mergeCell ref="J14:L14"/>
    <mergeCell ref="B6:L6"/>
    <mergeCell ref="J10:L10"/>
    <mergeCell ref="E7:F7"/>
    <mergeCell ref="J13:L13"/>
    <mergeCell ref="H8:I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68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22" customWidth="1" min="3" max="3"/>
    <col width="22" customWidth="1" min="4" max="4"/>
    <col width="12" customWidth="1" min="5" max="5"/>
    <col width="11" customWidth="1" min="6" max="6"/>
    <col width="13" customWidth="1" min="7" max="7"/>
    <col width="13" customWidth="1" min="8" max="8"/>
    <col width="11" customWidth="1" min="9" max="9"/>
    <col width="12" customWidth="1" min="10" max="10"/>
    <col width="9" customWidth="1" min="11" max="11"/>
    <col width="30" customWidth="1" min="12" max="12"/>
  </cols>
  <sheetData>
    <row r="2" ht="42" customHeight="1">
      <c r="B2" s="54" t="inlineStr">
        <is>
          <t>MONTREAL 2026</t>
        </is>
      </c>
    </row>
    <row r="4" ht="22" customHeight="1">
      <c r="B4" s="80" t="inlineStr">
        <is>
          <t>Trip Name</t>
        </is>
      </c>
      <c r="C4" s="81" t="inlineStr">
        <is>
          <t>Montreal Trip</t>
        </is>
      </c>
      <c r="E4" s="80" t="inlineStr">
        <is>
          <t>Dates</t>
        </is>
      </c>
      <c r="F4" s="81" t="inlineStr">
        <is>
          <t>Feb 12 - Feb 17, 2026</t>
        </is>
      </c>
      <c r="I4" s="80" t="inlineStr">
        <is>
          <t>Notes</t>
        </is>
      </c>
      <c r="J4" s="81" t="inlineStr">
        <is>
          <t>Omni Mont-Royal</t>
        </is>
      </c>
    </row>
    <row r="6" ht="26" customHeight="1">
      <c r="B6" s="57" t="inlineStr">
        <is>
          <t xml:space="preserve">  TRIP SUMMARY</t>
        </is>
      </c>
    </row>
    <row r="7">
      <c r="B7" s="58" t="inlineStr">
        <is>
          <t>Total Trip Cost</t>
        </is>
      </c>
      <c r="E7" s="58" t="inlineStr">
        <is>
          <t>Cash on Redemptions</t>
        </is>
      </c>
      <c r="H7" s="58" t="inlineStr">
        <is>
          <t>Activities Cash</t>
        </is>
      </c>
      <c r="J7" s="58" t="inlineStr">
        <is>
          <t>Points Used</t>
        </is>
      </c>
    </row>
    <row r="8" ht="28" customHeight="1">
      <c r="B8" s="59">
        <f>SUM(G18:G32)+SUM(G36:G50)+SUM(H54:H68)</f>
        <v/>
      </c>
      <c r="E8" s="59">
        <f>SUM(G18:G32)+SUM(G36:G50)</f>
        <v/>
      </c>
      <c r="H8" s="59">
        <f>SUM(H54:H68)</f>
        <v/>
      </c>
      <c r="J8" s="60">
        <f>SUM(F18:F32)+SUM(F36:F50)</f>
        <v/>
      </c>
    </row>
    <row r="10">
      <c r="B10" s="58" t="inlineStr">
        <is>
          <t>Sticker Value</t>
        </is>
      </c>
      <c r="E10" s="58" t="inlineStr">
        <is>
          <t>Total Savings</t>
        </is>
      </c>
      <c r="H10" s="58" t="inlineStr">
        <is>
          <t>Blended CPP</t>
        </is>
      </c>
      <c r="J10" s="58" t="inlineStr">
        <is>
          <t>% Off Sticker</t>
        </is>
      </c>
    </row>
    <row r="11" ht="28" customHeight="1">
      <c r="B11" s="59">
        <f>SUM(H18:H32)+SUM(H36:H50)</f>
        <v/>
      </c>
      <c r="E11" s="59">
        <f>IFERROR((SUM(H18:H32)+SUM(H36:H50))-(SUM(G18:G32)+SUM(G36:G50)),0)</f>
        <v/>
      </c>
      <c r="H11" s="61">
        <f>IFERROR(E11/J8*100,0)</f>
        <v/>
      </c>
      <c r="J11" s="62">
        <f>IFERROR(E11/B11,0)</f>
        <v/>
      </c>
    </row>
    <row r="13">
      <c r="B13" s="58" t="inlineStr">
        <is>
          <t>Airline Points</t>
        </is>
      </c>
      <c r="E13" s="58" t="inlineStr">
        <is>
          <t>Airline CPP</t>
        </is>
      </c>
      <c r="H13" s="58" t="inlineStr">
        <is>
          <t>Hotel Points</t>
        </is>
      </c>
      <c r="J13" s="58" t="inlineStr">
        <is>
          <t>Hotel CPP</t>
        </is>
      </c>
    </row>
    <row r="14" ht="28" customHeight="1">
      <c r="B14" s="60">
        <f>SUM(F18:F32)</f>
        <v/>
      </c>
      <c r="E14" s="61">
        <f>IFERROR((SUM(H18:H32)-SUM(G18:G32))/SUM(F18:F32)*100,0)</f>
        <v/>
      </c>
      <c r="H14" s="60">
        <f>SUM(F36:F50)</f>
        <v/>
      </c>
      <c r="J14" s="61">
        <f>IFERROR((SUM(H36:H50)-SUM(G36:G50))/SUM(F36:F50)*100,0)</f>
        <v/>
      </c>
    </row>
    <row r="16" ht="26" customHeight="1">
      <c r="B16" s="57" t="inlineStr">
        <is>
          <t xml:space="preserve">  FLIGHTS</t>
        </is>
      </c>
    </row>
    <row r="17" ht="32" customHeight="1">
      <c r="B17" s="63" t="inlineStr">
        <is>
          <t>Date</t>
        </is>
      </c>
      <c r="C17" s="63" t="inlineStr">
        <is>
          <t>Airline</t>
        </is>
      </c>
      <c r="D17" s="63" t="inlineStr">
        <is>
          <t>Route</t>
        </is>
      </c>
      <c r="E17" s="63" t="inlineStr">
        <is>
          <t>Class</t>
        </is>
      </c>
      <c r="F17" s="63" t="inlineStr">
        <is>
          <t>Points</t>
        </is>
      </c>
      <c r="G17" s="63" t="inlineStr">
        <is>
          <t>Tax + Fee ($)</t>
        </is>
      </c>
      <c r="H17" s="63" t="inlineStr">
        <is>
          <t>Sticker ($)</t>
        </is>
      </c>
      <c r="I17" s="63" t="inlineStr">
        <is>
          <t>CPP (¢)</t>
        </is>
      </c>
      <c r="J17" s="63" t="inlineStr">
        <is>
          <t>Savings ($)</t>
        </is>
      </c>
      <c r="K17" s="63" t="inlineStr">
        <is>
          <t>% Off</t>
        </is>
      </c>
      <c r="L17" s="63" t="inlineStr">
        <is>
          <t>Notes</t>
        </is>
      </c>
    </row>
    <row r="18">
      <c r="B18" s="82" t="n"/>
      <c r="C18" s="83" t="n"/>
      <c r="D18" s="83" t="n"/>
      <c r="E18" s="83" t="n"/>
      <c r="F18" s="66" t="n"/>
      <c r="G18" s="67" t="n"/>
      <c r="H18" s="67" t="n"/>
      <c r="I18" s="68">
        <f>IF(OR(F18="",F18=0,H18="",H18=0),"",(H18-G18)/F18*100)</f>
        <v/>
      </c>
      <c r="J18" s="67">
        <f>IF(OR(H18="",H18=0),"",MAX(H18-G18,0))</f>
        <v/>
      </c>
      <c r="K18" s="84">
        <f>IF(OR(H18="",H18=0),"",MAX((H18-G18)/H18,0))</f>
        <v/>
      </c>
      <c r="L18" s="83" t="n"/>
    </row>
    <row r="19">
      <c r="B19" s="85" t="n"/>
      <c r="C19" s="86" t="n"/>
      <c r="D19" s="86" t="n"/>
      <c r="E19" s="86" t="n"/>
      <c r="F19" s="71" t="n"/>
      <c r="G19" s="72" t="n"/>
      <c r="H19" s="72" t="n"/>
      <c r="I19" s="73">
        <f>IF(OR(F19="",F19=0,H19="",H19=0),"",(H19-G19)/F19*100)</f>
        <v/>
      </c>
      <c r="J19" s="72">
        <f>IF(OR(H19="",H19=0),"",MAX(H19-G19,0))</f>
        <v/>
      </c>
      <c r="K19" s="87">
        <f>IF(OR(H19="",H19=0),"",MAX((H19-G19)/H19,0))</f>
        <v/>
      </c>
      <c r="L19" s="86" t="n"/>
    </row>
    <row r="20">
      <c r="B20" s="82" t="n"/>
      <c r="C20" s="83" t="n"/>
      <c r="D20" s="83" t="n"/>
      <c r="E20" s="83" t="n"/>
      <c r="F20" s="66" t="n"/>
      <c r="G20" s="67" t="n"/>
      <c r="H20" s="67" t="n"/>
      <c r="I20" s="68">
        <f>IF(OR(F20="",F20=0,H20="",H20=0),"",(H20-G20)/F20*100)</f>
        <v/>
      </c>
      <c r="J20" s="67">
        <f>IF(OR(H20="",H20=0),"",MAX(H20-G20,0))</f>
        <v/>
      </c>
      <c r="K20" s="84">
        <f>IF(OR(H20="",H20=0),"",MAX((H20-G20)/H20,0))</f>
        <v/>
      </c>
      <c r="L20" s="83" t="n"/>
    </row>
    <row r="21">
      <c r="B21" s="85" t="n"/>
      <c r="C21" s="86" t="n"/>
      <c r="D21" s="86" t="n"/>
      <c r="E21" s="86" t="n"/>
      <c r="F21" s="71" t="n"/>
      <c r="G21" s="72" t="n"/>
      <c r="H21" s="72" t="n"/>
      <c r="I21" s="73">
        <f>IF(OR(F21="",F21=0,H21="",H21=0),"",(H21-G21)/F21*100)</f>
        <v/>
      </c>
      <c r="J21" s="72">
        <f>IF(OR(H21="",H21=0),"",MAX(H21-G21,0))</f>
        <v/>
      </c>
      <c r="K21" s="87">
        <f>IF(OR(H21="",H21=0),"",MAX((H21-G21)/H21,0))</f>
        <v/>
      </c>
      <c r="L21" s="86" t="n"/>
    </row>
    <row r="22">
      <c r="B22" s="82" t="n"/>
      <c r="C22" s="83" t="n"/>
      <c r="D22" s="83" t="n"/>
      <c r="E22" s="83" t="n"/>
      <c r="F22" s="66" t="n"/>
      <c r="G22" s="67" t="n"/>
      <c r="H22" s="67" t="n"/>
      <c r="I22" s="68">
        <f>IF(OR(F22="",F22=0,H22="",H22=0),"",(H22-G22)/F22*100)</f>
        <v/>
      </c>
      <c r="J22" s="67">
        <f>IF(OR(H22="",H22=0),"",MAX(H22-G22,0))</f>
        <v/>
      </c>
      <c r="K22" s="84">
        <f>IF(OR(H22="",H22=0),"",MAX((H22-G22)/H22,0))</f>
        <v/>
      </c>
      <c r="L22" s="83" t="n"/>
    </row>
    <row r="23">
      <c r="B23" s="85" t="n"/>
      <c r="C23" s="86" t="n"/>
      <c r="D23" s="86" t="n"/>
      <c r="E23" s="86" t="n"/>
      <c r="F23" s="71" t="n"/>
      <c r="G23" s="72" t="n"/>
      <c r="H23" s="72" t="n"/>
      <c r="I23" s="73">
        <f>IF(OR(F23="",F23=0,H23="",H23=0),"",(H23-G23)/F23*100)</f>
        <v/>
      </c>
      <c r="J23" s="72">
        <f>IF(OR(H23="",H23=0),"",MAX(H23-G23,0))</f>
        <v/>
      </c>
      <c r="K23" s="87">
        <f>IF(OR(H23="",H23=0),"",MAX((H23-G23)/H23,0))</f>
        <v/>
      </c>
      <c r="L23" s="86" t="n"/>
    </row>
    <row r="24">
      <c r="B24" s="82" t="n"/>
      <c r="C24" s="83" t="n"/>
      <c r="D24" s="83" t="n"/>
      <c r="E24" s="83" t="n"/>
      <c r="F24" s="66" t="n"/>
      <c r="G24" s="67" t="n"/>
      <c r="H24" s="67" t="n"/>
      <c r="I24" s="68">
        <f>IF(OR(F24="",F24=0,H24="",H24=0),"",(H24-G24)/F24*100)</f>
        <v/>
      </c>
      <c r="J24" s="67">
        <f>IF(OR(H24="",H24=0),"",MAX(H24-G24,0))</f>
        <v/>
      </c>
      <c r="K24" s="84">
        <f>IF(OR(H24="",H24=0),"",MAX((H24-G24)/H24,0))</f>
        <v/>
      </c>
      <c r="L24" s="83" t="n"/>
    </row>
    <row r="25">
      <c r="B25" s="85" t="n"/>
      <c r="C25" s="86" t="n"/>
      <c r="D25" s="86" t="n"/>
      <c r="E25" s="86" t="n"/>
      <c r="F25" s="71" t="n"/>
      <c r="G25" s="72" t="n"/>
      <c r="H25" s="72" t="n"/>
      <c r="I25" s="73">
        <f>IF(OR(F25="",F25=0,H25="",H25=0),"",(H25-G25)/F25*100)</f>
        <v/>
      </c>
      <c r="J25" s="72">
        <f>IF(OR(H25="",H25=0),"",MAX(H25-G25,0))</f>
        <v/>
      </c>
      <c r="K25" s="87">
        <f>IF(OR(H25="",H25=0),"",MAX((H25-G25)/H25,0))</f>
        <v/>
      </c>
      <c r="L25" s="86" t="n"/>
    </row>
    <row r="26">
      <c r="B26" s="82" t="n"/>
      <c r="C26" s="83" t="n"/>
      <c r="D26" s="83" t="n"/>
      <c r="E26" s="83" t="n"/>
      <c r="F26" s="66" t="n"/>
      <c r="G26" s="67" t="n"/>
      <c r="H26" s="67" t="n"/>
      <c r="I26" s="68">
        <f>IF(OR(F26="",F26=0,H26="",H26=0),"",(H26-G26)/F26*100)</f>
        <v/>
      </c>
      <c r="J26" s="67">
        <f>IF(OR(H26="",H26=0),"",MAX(H26-G26,0))</f>
        <v/>
      </c>
      <c r="K26" s="84">
        <f>IF(OR(H26="",H26=0),"",MAX((H26-G26)/H26,0))</f>
        <v/>
      </c>
      <c r="L26" s="83" t="n"/>
    </row>
    <row r="27">
      <c r="B27" s="85" t="n"/>
      <c r="C27" s="86" t="n"/>
      <c r="D27" s="86" t="n"/>
      <c r="E27" s="86" t="n"/>
      <c r="F27" s="71" t="n"/>
      <c r="G27" s="72" t="n"/>
      <c r="H27" s="72" t="n"/>
      <c r="I27" s="73">
        <f>IF(OR(F27="",F27=0,H27="",H27=0),"",(H27-G27)/F27*100)</f>
        <v/>
      </c>
      <c r="J27" s="72">
        <f>IF(OR(H27="",H27=0),"",MAX(H27-G27,0))</f>
        <v/>
      </c>
      <c r="K27" s="87">
        <f>IF(OR(H27="",H27=0),"",MAX((H27-G27)/H27,0))</f>
        <v/>
      </c>
      <c r="L27" s="86" t="n"/>
    </row>
    <row r="28">
      <c r="B28" s="82" t="n"/>
      <c r="C28" s="83" t="n"/>
      <c r="D28" s="83" t="n"/>
      <c r="E28" s="83" t="n"/>
      <c r="F28" s="66" t="n"/>
      <c r="G28" s="67" t="n"/>
      <c r="H28" s="67" t="n"/>
      <c r="I28" s="68">
        <f>IF(OR(F28="",F28=0,H28="",H28=0),"",(H28-G28)/F28*100)</f>
        <v/>
      </c>
      <c r="J28" s="67">
        <f>IF(OR(H28="",H28=0),"",MAX(H28-G28,0))</f>
        <v/>
      </c>
      <c r="K28" s="84">
        <f>IF(OR(H28="",H28=0),"",MAX((H28-G28)/H28,0))</f>
        <v/>
      </c>
      <c r="L28" s="83" t="n"/>
    </row>
    <row r="29">
      <c r="B29" s="85" t="n"/>
      <c r="C29" s="86" t="n"/>
      <c r="D29" s="86" t="n"/>
      <c r="E29" s="86" t="n"/>
      <c r="F29" s="71" t="n"/>
      <c r="G29" s="72" t="n"/>
      <c r="H29" s="72" t="n"/>
      <c r="I29" s="73">
        <f>IF(OR(F29="",F29=0,H29="",H29=0),"",(H29-G29)/F29*100)</f>
        <v/>
      </c>
      <c r="J29" s="72">
        <f>IF(OR(H29="",H29=0),"",MAX(H29-G29,0))</f>
        <v/>
      </c>
      <c r="K29" s="87">
        <f>IF(OR(H29="",H29=0),"",MAX((H29-G29)/H29,0))</f>
        <v/>
      </c>
      <c r="L29" s="86" t="n"/>
    </row>
    <row r="30">
      <c r="B30" s="82" t="n"/>
      <c r="C30" s="83" t="n"/>
      <c r="D30" s="83" t="n"/>
      <c r="E30" s="83" t="n"/>
      <c r="F30" s="66" t="n"/>
      <c r="G30" s="67" t="n"/>
      <c r="H30" s="67" t="n"/>
      <c r="I30" s="68">
        <f>IF(OR(F30="",F30=0,H30="",H30=0),"",(H30-G30)/F30*100)</f>
        <v/>
      </c>
      <c r="J30" s="67">
        <f>IF(OR(H30="",H30=0),"",MAX(H30-G30,0))</f>
        <v/>
      </c>
      <c r="K30" s="84">
        <f>IF(OR(H30="",H30=0),"",MAX((H30-G30)/H30,0))</f>
        <v/>
      </c>
      <c r="L30" s="83" t="n"/>
    </row>
    <row r="31">
      <c r="B31" s="85" t="n"/>
      <c r="C31" s="86" t="n"/>
      <c r="D31" s="86" t="n"/>
      <c r="E31" s="86" t="n"/>
      <c r="F31" s="71" t="n"/>
      <c r="G31" s="72" t="n"/>
      <c r="H31" s="72" t="n"/>
      <c r="I31" s="73">
        <f>IF(OR(F31="",F31=0,H31="",H31=0),"",(H31-G31)/F31*100)</f>
        <v/>
      </c>
      <c r="J31" s="72">
        <f>IF(OR(H31="",H31=0),"",MAX(H31-G31,0))</f>
        <v/>
      </c>
      <c r="K31" s="87">
        <f>IF(OR(H31="",H31=0),"",MAX((H31-G31)/H31,0))</f>
        <v/>
      </c>
      <c r="L31" s="86" t="n"/>
    </row>
    <row r="32">
      <c r="B32" s="82" t="n"/>
      <c r="C32" s="83" t="n"/>
      <c r="D32" s="83" t="n"/>
      <c r="E32" s="83" t="n"/>
      <c r="F32" s="66" t="n"/>
      <c r="G32" s="67" t="n"/>
      <c r="H32" s="67" t="n"/>
      <c r="I32" s="68">
        <f>IF(OR(F32="",F32=0,H32="",H32=0),"",(H32-G32)/F32*100)</f>
        <v/>
      </c>
      <c r="J32" s="67">
        <f>IF(OR(H32="",H32=0),"",MAX(H32-G32,0))</f>
        <v/>
      </c>
      <c r="K32" s="84">
        <f>IF(OR(H32="",H32=0),"",MAX((H32-G32)/H32,0))</f>
        <v/>
      </c>
      <c r="L32" s="83" t="n"/>
    </row>
    <row r="34" ht="26" customHeight="1">
      <c r="B34" s="57" t="inlineStr">
        <is>
          <t xml:space="preserve">  HOTELS</t>
        </is>
      </c>
    </row>
    <row r="35" ht="32" customHeight="1">
      <c r="B35" s="63" t="inlineStr">
        <is>
          <t>Check-in</t>
        </is>
      </c>
      <c r="C35" s="63" t="inlineStr">
        <is>
          <t>Hotel</t>
        </is>
      </c>
      <c r="D35" s="63" t="inlineStr">
        <is>
          <t>Location</t>
        </is>
      </c>
      <c r="E35" s="63" t="inlineStr">
        <is>
          <t>Nights</t>
        </is>
      </c>
      <c r="F35" s="63" t="inlineStr">
        <is>
          <t>Points</t>
        </is>
      </c>
      <c r="G35" s="63" t="inlineStr">
        <is>
          <t>Tax + Fee ($)</t>
        </is>
      </c>
      <c r="H35" s="63" t="inlineStr">
        <is>
          <t>Sticker ($)</t>
        </is>
      </c>
      <c r="I35" s="63" t="inlineStr">
        <is>
          <t>CPP (¢)</t>
        </is>
      </c>
      <c r="J35" s="63" t="inlineStr">
        <is>
          <t>Savings ($)</t>
        </is>
      </c>
      <c r="K35" s="63" t="inlineStr">
        <is>
          <t>% Off</t>
        </is>
      </c>
      <c r="L35" s="63" t="inlineStr">
        <is>
          <t>Notes</t>
        </is>
      </c>
    </row>
    <row r="36">
      <c r="B36" s="82" t="n">
        <v>46065</v>
      </c>
      <c r="C36" s="83" t="inlineStr">
        <is>
          <t>Omni Mont-Royal</t>
        </is>
      </c>
      <c r="D36" s="83" t="inlineStr">
        <is>
          <t>Montreal</t>
        </is>
      </c>
      <c r="E36" s="88" t="n">
        <v>5</v>
      </c>
      <c r="F36" s="66" t="n">
        <v>0</v>
      </c>
      <c r="G36" s="67" t="n">
        <v>328.92</v>
      </c>
      <c r="H36" s="67" t="n">
        <v>1228.92</v>
      </c>
      <c r="I36" s="68">
        <f>IF(OR(F36="",F36=0,H36="",H36=0),"",(H36-G36)/F36*100)</f>
        <v/>
      </c>
      <c r="J36" s="67">
        <f>IF(OR(H36="",H36=0),"",MAX(H36-G36,0))</f>
        <v/>
      </c>
      <c r="K36" s="84">
        <f>IF(OR(H36="",H36=0),"",MAX((H36-G36)/H36,0))</f>
        <v/>
      </c>
      <c r="L36" s="83" t="inlineStr">
        <is>
          <t>FHR Credit</t>
        </is>
      </c>
    </row>
    <row r="37">
      <c r="B37" s="85" t="n"/>
      <c r="C37" s="86" t="n"/>
      <c r="D37" s="86" t="n"/>
      <c r="E37" s="89" t="n"/>
      <c r="F37" s="71" t="n"/>
      <c r="G37" s="72" t="n"/>
      <c r="H37" s="72" t="n"/>
      <c r="I37" s="73">
        <f>IF(OR(F37="",F37=0,H37="",H37=0),"",(H37-G37)/F37*100)</f>
        <v/>
      </c>
      <c r="J37" s="72">
        <f>IF(OR(H37="",H37=0),"",MAX(H37-G37,0))</f>
        <v/>
      </c>
      <c r="K37" s="87">
        <f>IF(OR(H37="",H37=0),"",MAX((H37-G37)/H37,0))</f>
        <v/>
      </c>
      <c r="L37" s="86" t="n"/>
    </row>
    <row r="38">
      <c r="B38" s="82" t="n"/>
      <c r="C38" s="83" t="n"/>
      <c r="D38" s="83" t="n"/>
      <c r="E38" s="88" t="n"/>
      <c r="F38" s="66" t="n"/>
      <c r="G38" s="67" t="n"/>
      <c r="H38" s="67" t="n"/>
      <c r="I38" s="68">
        <f>IF(OR(F38="",F38=0,H38="",H38=0),"",(H38-G38)/F38*100)</f>
        <v/>
      </c>
      <c r="J38" s="67">
        <f>IF(OR(H38="",H38=0),"",MAX(H38-G38,0))</f>
        <v/>
      </c>
      <c r="K38" s="84">
        <f>IF(OR(H38="",H38=0),"",MAX((H38-G38)/H38,0))</f>
        <v/>
      </c>
      <c r="L38" s="83" t="n"/>
    </row>
    <row r="39">
      <c r="B39" s="85" t="n"/>
      <c r="C39" s="86" t="n"/>
      <c r="D39" s="86" t="n"/>
      <c r="E39" s="89" t="n"/>
      <c r="F39" s="71" t="n"/>
      <c r="G39" s="72" t="n"/>
      <c r="H39" s="72" t="n"/>
      <c r="I39" s="73">
        <f>IF(OR(F39="",F39=0,H39="",H39=0),"",(H39-G39)/F39*100)</f>
        <v/>
      </c>
      <c r="J39" s="72">
        <f>IF(OR(H39="",H39=0),"",MAX(H39-G39,0))</f>
        <v/>
      </c>
      <c r="K39" s="87">
        <f>IF(OR(H39="",H39=0),"",MAX((H39-G39)/H39,0))</f>
        <v/>
      </c>
      <c r="L39" s="86" t="n"/>
    </row>
    <row r="40">
      <c r="B40" s="82" t="n"/>
      <c r="C40" s="83" t="n"/>
      <c r="D40" s="83" t="n"/>
      <c r="E40" s="88" t="n"/>
      <c r="F40" s="66" t="n"/>
      <c r="G40" s="67" t="n"/>
      <c r="H40" s="67" t="n"/>
      <c r="I40" s="68">
        <f>IF(OR(F40="",F40=0,H40="",H40=0),"",(H40-G40)/F40*100)</f>
        <v/>
      </c>
      <c r="J40" s="67">
        <f>IF(OR(H40="",H40=0),"",MAX(H40-G40,0))</f>
        <v/>
      </c>
      <c r="K40" s="84">
        <f>IF(OR(H40="",H40=0),"",MAX((H40-G40)/H40,0))</f>
        <v/>
      </c>
      <c r="L40" s="83" t="n"/>
    </row>
    <row r="41">
      <c r="B41" s="85" t="n"/>
      <c r="C41" s="86" t="n"/>
      <c r="D41" s="86" t="n"/>
      <c r="E41" s="89" t="n"/>
      <c r="F41" s="71" t="n"/>
      <c r="G41" s="72" t="n"/>
      <c r="H41" s="72" t="n"/>
      <c r="I41" s="73">
        <f>IF(OR(F41="",F41=0,H41="",H41=0),"",(H41-G41)/F41*100)</f>
        <v/>
      </c>
      <c r="J41" s="72">
        <f>IF(OR(H41="",H41=0),"",MAX(H41-G41,0))</f>
        <v/>
      </c>
      <c r="K41" s="87">
        <f>IF(OR(H41="",H41=0),"",MAX((H41-G41)/H41,0))</f>
        <v/>
      </c>
      <c r="L41" s="86" t="n"/>
    </row>
    <row r="42">
      <c r="B42" s="82" t="n"/>
      <c r="C42" s="83" t="n"/>
      <c r="D42" s="83" t="n"/>
      <c r="E42" s="88" t="n"/>
      <c r="F42" s="66" t="n"/>
      <c r="G42" s="67" t="n"/>
      <c r="H42" s="67" t="n"/>
      <c r="I42" s="68">
        <f>IF(OR(F42="",F42=0,H42="",H42=0),"",(H42-G42)/F42*100)</f>
        <v/>
      </c>
      <c r="J42" s="67">
        <f>IF(OR(H42="",H42=0),"",MAX(H42-G42,0))</f>
        <v/>
      </c>
      <c r="K42" s="84">
        <f>IF(OR(H42="",H42=0),"",MAX((H42-G42)/H42,0))</f>
        <v/>
      </c>
      <c r="L42" s="83" t="n"/>
    </row>
    <row r="43">
      <c r="B43" s="85" t="n"/>
      <c r="C43" s="86" t="n"/>
      <c r="D43" s="86" t="n"/>
      <c r="E43" s="89" t="n"/>
      <c r="F43" s="71" t="n"/>
      <c r="G43" s="72" t="n"/>
      <c r="H43" s="72" t="n"/>
      <c r="I43" s="73">
        <f>IF(OR(F43="",F43=0,H43="",H43=0),"",(H43-G43)/F43*100)</f>
        <v/>
      </c>
      <c r="J43" s="72">
        <f>IF(OR(H43="",H43=0),"",MAX(H43-G43,0))</f>
        <v/>
      </c>
      <c r="K43" s="87">
        <f>IF(OR(H43="",H43=0),"",MAX((H43-G43)/H43,0))</f>
        <v/>
      </c>
      <c r="L43" s="86" t="n"/>
    </row>
    <row r="44">
      <c r="B44" s="82" t="n"/>
      <c r="C44" s="83" t="n"/>
      <c r="D44" s="83" t="n"/>
      <c r="E44" s="88" t="n"/>
      <c r="F44" s="66" t="n"/>
      <c r="G44" s="67" t="n"/>
      <c r="H44" s="67" t="n"/>
      <c r="I44" s="68">
        <f>IF(OR(F44="",F44=0,H44="",H44=0),"",(H44-G44)/F44*100)</f>
        <v/>
      </c>
      <c r="J44" s="67">
        <f>IF(OR(H44="",H44=0),"",MAX(H44-G44,0))</f>
        <v/>
      </c>
      <c r="K44" s="84">
        <f>IF(OR(H44="",H44=0),"",MAX((H44-G44)/H44,0))</f>
        <v/>
      </c>
      <c r="L44" s="83" t="n"/>
    </row>
    <row r="45">
      <c r="B45" s="85" t="n"/>
      <c r="C45" s="86" t="n"/>
      <c r="D45" s="86" t="n"/>
      <c r="E45" s="89" t="n"/>
      <c r="F45" s="71" t="n"/>
      <c r="G45" s="72" t="n"/>
      <c r="H45" s="72" t="n"/>
      <c r="I45" s="73">
        <f>IF(OR(F45="",F45=0,H45="",H45=0),"",(H45-G45)/F45*100)</f>
        <v/>
      </c>
      <c r="J45" s="72">
        <f>IF(OR(H45="",H45=0),"",MAX(H45-G45,0))</f>
        <v/>
      </c>
      <c r="K45" s="87">
        <f>IF(OR(H45="",H45=0),"",MAX((H45-G45)/H45,0))</f>
        <v/>
      </c>
      <c r="L45" s="86" t="n"/>
    </row>
    <row r="46">
      <c r="B46" s="82" t="n"/>
      <c r="C46" s="83" t="n"/>
      <c r="D46" s="83" t="n"/>
      <c r="E46" s="88" t="n"/>
      <c r="F46" s="66" t="n"/>
      <c r="G46" s="67" t="n"/>
      <c r="H46" s="67" t="n"/>
      <c r="I46" s="68">
        <f>IF(OR(F46="",F46=0,H46="",H46=0),"",(H46-G46)/F46*100)</f>
        <v/>
      </c>
      <c r="J46" s="67">
        <f>IF(OR(H46="",H46=0),"",MAX(H46-G46,0))</f>
        <v/>
      </c>
      <c r="K46" s="84">
        <f>IF(OR(H46="",H46=0),"",MAX((H46-G46)/H46,0))</f>
        <v/>
      </c>
      <c r="L46" s="83" t="n"/>
    </row>
    <row r="47">
      <c r="B47" s="85" t="n"/>
      <c r="C47" s="86" t="n"/>
      <c r="D47" s="86" t="n"/>
      <c r="E47" s="89" t="n"/>
      <c r="F47" s="71" t="n"/>
      <c r="G47" s="72" t="n"/>
      <c r="H47" s="72" t="n"/>
      <c r="I47" s="73">
        <f>IF(OR(F47="",F47=0,H47="",H47=0),"",(H47-G47)/F47*100)</f>
        <v/>
      </c>
      <c r="J47" s="72">
        <f>IF(OR(H47="",H47=0),"",MAX(H47-G47,0))</f>
        <v/>
      </c>
      <c r="K47" s="87">
        <f>IF(OR(H47="",H47=0),"",MAX((H47-G47)/H47,0))</f>
        <v/>
      </c>
      <c r="L47" s="86" t="n"/>
    </row>
    <row r="48">
      <c r="B48" s="82" t="n"/>
      <c r="C48" s="83" t="n"/>
      <c r="D48" s="83" t="n"/>
      <c r="E48" s="88" t="n"/>
      <c r="F48" s="66" t="n"/>
      <c r="G48" s="67" t="n"/>
      <c r="H48" s="67" t="n"/>
      <c r="I48" s="68">
        <f>IF(OR(F48="",F48=0,H48="",H48=0),"",(H48-G48)/F48*100)</f>
        <v/>
      </c>
      <c r="J48" s="67">
        <f>IF(OR(H48="",H48=0),"",MAX(H48-G48,0))</f>
        <v/>
      </c>
      <c r="K48" s="84">
        <f>IF(OR(H48="",H48=0),"",MAX((H48-G48)/H48,0))</f>
        <v/>
      </c>
      <c r="L48" s="83" t="n"/>
    </row>
    <row r="49">
      <c r="B49" s="85" t="n"/>
      <c r="C49" s="86" t="n"/>
      <c r="D49" s="86" t="n"/>
      <c r="E49" s="89" t="n"/>
      <c r="F49" s="71" t="n"/>
      <c r="G49" s="72" t="n"/>
      <c r="H49" s="72" t="n"/>
      <c r="I49" s="73">
        <f>IF(OR(F49="",F49=0,H49="",H49=0),"",(H49-G49)/F49*100)</f>
        <v/>
      </c>
      <c r="J49" s="72">
        <f>IF(OR(H49="",H49=0),"",MAX(H49-G49,0))</f>
        <v/>
      </c>
      <c r="K49" s="87">
        <f>IF(OR(H49="",H49=0),"",MAX((H49-G49)/H49,0))</f>
        <v/>
      </c>
      <c r="L49" s="86" t="n"/>
    </row>
    <row r="50">
      <c r="B50" s="82" t="n"/>
      <c r="C50" s="83" t="n"/>
      <c r="D50" s="83" t="n"/>
      <c r="E50" s="88" t="n"/>
      <c r="F50" s="66" t="n"/>
      <c r="G50" s="67" t="n"/>
      <c r="H50" s="67" t="n"/>
      <c r="I50" s="68">
        <f>IF(OR(F50="",F50=0,H50="",H50=0),"",(H50-G50)/F50*100)</f>
        <v/>
      </c>
      <c r="J50" s="67">
        <f>IF(OR(H50="",H50=0),"",MAX(H50-G50,0))</f>
        <v/>
      </c>
      <c r="K50" s="84">
        <f>IF(OR(H50="",H50=0),"",MAX((H50-G50)/H50,0))</f>
        <v/>
      </c>
      <c r="L50" s="83" t="n"/>
    </row>
    <row r="52" ht="26" customHeight="1">
      <c r="B52" s="57" t="inlineStr">
        <is>
          <t xml:space="preserve">  ACTIVITIES &amp; EXPERIENCES</t>
        </is>
      </c>
    </row>
    <row r="53" ht="32" customHeight="1">
      <c r="B53" s="63" t="inlineStr">
        <is>
          <t>Date</t>
        </is>
      </c>
      <c r="C53" s="63" t="inlineStr">
        <is>
          <t>Activity</t>
        </is>
      </c>
      <c r="D53" s="63" t="inlineStr">
        <is>
          <t>Vendor</t>
        </is>
      </c>
      <c r="E53" s="63" t="inlineStr">
        <is>
          <t>Travelers</t>
        </is>
      </c>
      <c r="F53" s="63" t="inlineStr"/>
      <c r="G53" s="63" t="inlineStr"/>
      <c r="H53" s="63" t="inlineStr"/>
      <c r="I53" s="63" t="inlineStr">
        <is>
          <t>Cash ($)</t>
        </is>
      </c>
      <c r="J53" s="63" t="inlineStr">
        <is>
          <t>Currency</t>
        </is>
      </c>
      <c r="K53" s="63" t="inlineStr">
        <is>
          <t>Category</t>
        </is>
      </c>
      <c r="L53" s="63" t="inlineStr">
        <is>
          <t>Notes</t>
        </is>
      </c>
    </row>
    <row r="54">
      <c r="B54" s="82" t="n"/>
      <c r="C54" s="83" t="n"/>
      <c r="D54" s="83" t="n"/>
      <c r="E54" s="88" t="n"/>
      <c r="F54" s="90" t="n"/>
      <c r="G54" s="90" t="n"/>
      <c r="H54" s="90" t="n"/>
      <c r="I54" s="67" t="n"/>
      <c r="J54" s="90" t="n"/>
      <c r="K54" s="90" t="n"/>
      <c r="L54" s="83" t="n"/>
    </row>
    <row r="55">
      <c r="B55" s="85" t="n"/>
      <c r="C55" s="86" t="n"/>
      <c r="D55" s="86" t="n"/>
      <c r="E55" s="89" t="n"/>
      <c r="F55" s="91" t="n"/>
      <c r="G55" s="91" t="n"/>
      <c r="H55" s="91" t="n"/>
      <c r="I55" s="72" t="n"/>
      <c r="J55" s="91" t="n"/>
      <c r="K55" s="91" t="n"/>
      <c r="L55" s="86" t="n"/>
    </row>
    <row r="56">
      <c r="B56" s="82" t="n"/>
      <c r="C56" s="83" t="n"/>
      <c r="D56" s="83" t="n"/>
      <c r="E56" s="88" t="n"/>
      <c r="F56" s="90" t="n"/>
      <c r="G56" s="90" t="n"/>
      <c r="H56" s="90" t="n"/>
      <c r="I56" s="67" t="n"/>
      <c r="J56" s="90" t="n"/>
      <c r="K56" s="90" t="n"/>
      <c r="L56" s="83" t="n"/>
    </row>
    <row r="57">
      <c r="B57" s="85" t="n"/>
      <c r="C57" s="86" t="n"/>
      <c r="D57" s="86" t="n"/>
      <c r="E57" s="89" t="n"/>
      <c r="F57" s="91" t="n"/>
      <c r="G57" s="91" t="n"/>
      <c r="H57" s="91" t="n"/>
      <c r="I57" s="72" t="n"/>
      <c r="J57" s="91" t="n"/>
      <c r="K57" s="91" t="n"/>
      <c r="L57" s="86" t="n"/>
    </row>
    <row r="58">
      <c r="B58" s="82" t="n"/>
      <c r="C58" s="83" t="n"/>
      <c r="D58" s="83" t="n"/>
      <c r="E58" s="88" t="n"/>
      <c r="F58" s="90" t="n"/>
      <c r="G58" s="90" t="n"/>
      <c r="H58" s="90" t="n"/>
      <c r="I58" s="67" t="n"/>
      <c r="J58" s="90" t="n"/>
      <c r="K58" s="90" t="n"/>
      <c r="L58" s="83" t="n"/>
    </row>
    <row r="59">
      <c r="B59" s="85" t="n"/>
      <c r="C59" s="86" t="n"/>
      <c r="D59" s="86" t="n"/>
      <c r="E59" s="89" t="n"/>
      <c r="F59" s="91" t="n"/>
      <c r="G59" s="91" t="n"/>
      <c r="H59" s="91" t="n"/>
      <c r="I59" s="72" t="n"/>
      <c r="J59" s="91" t="n"/>
      <c r="K59" s="91" t="n"/>
      <c r="L59" s="86" t="n"/>
    </row>
    <row r="60">
      <c r="B60" s="82" t="n"/>
      <c r="C60" s="83" t="n"/>
      <c r="D60" s="83" t="n"/>
      <c r="E60" s="88" t="n"/>
      <c r="F60" s="90" t="n"/>
      <c r="G60" s="90" t="n"/>
      <c r="H60" s="90" t="n"/>
      <c r="I60" s="67" t="n"/>
      <c r="J60" s="90" t="n"/>
      <c r="K60" s="90" t="n"/>
      <c r="L60" s="83" t="n"/>
    </row>
    <row r="61">
      <c r="B61" s="85" t="n"/>
      <c r="C61" s="86" t="n"/>
      <c r="D61" s="86" t="n"/>
      <c r="E61" s="89" t="n"/>
      <c r="F61" s="91" t="n"/>
      <c r="G61" s="91" t="n"/>
      <c r="H61" s="91" t="n"/>
      <c r="I61" s="72" t="n"/>
      <c r="J61" s="91" t="n"/>
      <c r="K61" s="91" t="n"/>
      <c r="L61" s="86" t="n"/>
    </row>
    <row r="62">
      <c r="B62" s="82" t="n"/>
      <c r="C62" s="83" t="n"/>
      <c r="D62" s="83" t="n"/>
      <c r="E62" s="88" t="n"/>
      <c r="F62" s="90" t="n"/>
      <c r="G62" s="90" t="n"/>
      <c r="H62" s="90" t="n"/>
      <c r="I62" s="67" t="n"/>
      <c r="J62" s="90" t="n"/>
      <c r="K62" s="90" t="n"/>
      <c r="L62" s="83" t="n"/>
    </row>
    <row r="63">
      <c r="B63" s="85" t="n"/>
      <c r="C63" s="86" t="n"/>
      <c r="D63" s="86" t="n"/>
      <c r="E63" s="89" t="n"/>
      <c r="F63" s="91" t="n"/>
      <c r="G63" s="91" t="n"/>
      <c r="H63" s="91" t="n"/>
      <c r="I63" s="72" t="n"/>
      <c r="J63" s="91" t="n"/>
      <c r="K63" s="91" t="n"/>
      <c r="L63" s="86" t="n"/>
    </row>
    <row r="64">
      <c r="B64" s="82" t="n"/>
      <c r="C64" s="83" t="n"/>
      <c r="D64" s="83" t="n"/>
      <c r="E64" s="88" t="n"/>
      <c r="F64" s="90" t="n"/>
      <c r="G64" s="90" t="n"/>
      <c r="H64" s="90" t="n"/>
      <c r="I64" s="67" t="n"/>
      <c r="J64" s="90" t="n"/>
      <c r="K64" s="90" t="n"/>
      <c r="L64" s="83" t="n"/>
    </row>
    <row r="65">
      <c r="B65" s="85" t="n"/>
      <c r="C65" s="86" t="n"/>
      <c r="D65" s="86" t="n"/>
      <c r="E65" s="89" t="n"/>
      <c r="F65" s="91" t="n"/>
      <c r="G65" s="91" t="n"/>
      <c r="H65" s="91" t="n"/>
      <c r="I65" s="72" t="n"/>
      <c r="J65" s="91" t="n"/>
      <c r="K65" s="91" t="n"/>
      <c r="L65" s="86" t="n"/>
    </row>
    <row r="66">
      <c r="B66" s="82" t="n"/>
      <c r="C66" s="83" t="n"/>
      <c r="D66" s="83" t="n"/>
      <c r="E66" s="88" t="n"/>
      <c r="F66" s="90" t="n"/>
      <c r="G66" s="90" t="n"/>
      <c r="H66" s="90" t="n"/>
      <c r="I66" s="67" t="n"/>
      <c r="J66" s="90" t="n"/>
      <c r="K66" s="90" t="n"/>
      <c r="L66" s="83" t="n"/>
    </row>
    <row r="67">
      <c r="B67" s="85" t="n"/>
      <c r="C67" s="86" t="n"/>
      <c r="D67" s="86" t="n"/>
      <c r="E67" s="89" t="n"/>
      <c r="F67" s="91" t="n"/>
      <c r="G67" s="91" t="n"/>
      <c r="H67" s="91" t="n"/>
      <c r="I67" s="72" t="n"/>
      <c r="J67" s="91" t="n"/>
      <c r="K67" s="91" t="n"/>
      <c r="L67" s="86" t="n"/>
    </row>
    <row r="68">
      <c r="B68" s="82" t="n"/>
      <c r="C68" s="83" t="n"/>
      <c r="D68" s="83" t="n"/>
      <c r="E68" s="88" t="n"/>
      <c r="F68" s="90" t="n"/>
      <c r="G68" s="90" t="n"/>
      <c r="H68" s="90" t="n"/>
      <c r="I68" s="67" t="n"/>
      <c r="J68" s="90" t="n"/>
      <c r="K68" s="90" t="n"/>
      <c r="L68" s="83" t="n"/>
    </row>
  </sheetData>
  <mergeCells count="31">
    <mergeCell ref="B7:C7"/>
    <mergeCell ref="B16:L16"/>
    <mergeCell ref="H10:I10"/>
    <mergeCell ref="J4:L4"/>
    <mergeCell ref="E14:F14"/>
    <mergeCell ref="E8:F8"/>
    <mergeCell ref="J11:L11"/>
    <mergeCell ref="J7:L7"/>
    <mergeCell ref="B52:L52"/>
    <mergeCell ref="B11:C11"/>
    <mergeCell ref="E10:F10"/>
    <mergeCell ref="B2:L2"/>
    <mergeCell ref="B14:C14"/>
    <mergeCell ref="E13:F13"/>
    <mergeCell ref="B8:C8"/>
    <mergeCell ref="B13:C13"/>
    <mergeCell ref="H11:I11"/>
    <mergeCell ref="H7:I7"/>
    <mergeCell ref="B10:C10"/>
    <mergeCell ref="E11:F11"/>
    <mergeCell ref="B34:L34"/>
    <mergeCell ref="F4:H4"/>
    <mergeCell ref="J8:L8"/>
    <mergeCell ref="H13:I13"/>
    <mergeCell ref="H14:I14"/>
    <mergeCell ref="J14:L14"/>
    <mergeCell ref="B6:L6"/>
    <mergeCell ref="J10:L10"/>
    <mergeCell ref="E7:F7"/>
    <mergeCell ref="J13:L13"/>
    <mergeCell ref="H8:I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68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22" customWidth="1" min="3" max="3"/>
    <col width="22" customWidth="1" min="4" max="4"/>
    <col width="12" customWidth="1" min="5" max="5"/>
    <col width="11" customWidth="1" min="6" max="6"/>
    <col width="13" customWidth="1" min="7" max="7"/>
    <col width="13" customWidth="1" min="8" max="8"/>
    <col width="11" customWidth="1" min="9" max="9"/>
    <col width="12" customWidth="1" min="10" max="10"/>
    <col width="9" customWidth="1" min="11" max="11"/>
    <col width="30" customWidth="1" min="12" max="12"/>
  </cols>
  <sheetData>
    <row r="2" ht="42" customHeight="1">
      <c r="B2" s="54" t="inlineStr">
        <is>
          <t>SPAIN 2026</t>
        </is>
      </c>
    </row>
    <row r="4" ht="22" customHeight="1">
      <c r="B4" s="80" t="inlineStr">
        <is>
          <t>Trip Name</t>
        </is>
      </c>
      <c r="C4" s="81" t="inlineStr">
        <is>
          <t>Spain Trip</t>
        </is>
      </c>
      <c r="E4" s="80" t="inlineStr">
        <is>
          <t>Dates</t>
        </is>
      </c>
      <c r="F4" s="81" t="inlineStr">
        <is>
          <t>Jul 26 - Aug 7, 2026</t>
        </is>
      </c>
      <c r="I4" s="80" t="inlineStr">
        <is>
          <t>Notes</t>
        </is>
      </c>
      <c r="J4" s="81" t="inlineStr">
        <is>
          <t>Barcelona / San Sebastian / Valencia</t>
        </is>
      </c>
    </row>
    <row r="6" ht="26" customHeight="1">
      <c r="B6" s="57" t="inlineStr">
        <is>
          <t xml:space="preserve">  TRIP SUMMARY</t>
        </is>
      </c>
    </row>
    <row r="7">
      <c r="B7" s="58" t="inlineStr">
        <is>
          <t>Total Trip Cost</t>
        </is>
      </c>
      <c r="E7" s="58" t="inlineStr">
        <is>
          <t>Cash on Redemptions</t>
        </is>
      </c>
      <c r="H7" s="58" t="inlineStr">
        <is>
          <t>Activities Cash</t>
        </is>
      </c>
      <c r="J7" s="58" t="inlineStr">
        <is>
          <t>Points Used</t>
        </is>
      </c>
    </row>
    <row r="8" ht="28" customHeight="1">
      <c r="B8" s="59">
        <f>SUM(G18:G32)+SUM(G36:G50)+SUM(H54:H68)</f>
        <v/>
      </c>
      <c r="E8" s="59">
        <f>SUM(G18:G32)+SUM(G36:G50)</f>
        <v/>
      </c>
      <c r="H8" s="59">
        <f>SUM(H54:H68)</f>
        <v/>
      </c>
      <c r="J8" s="60">
        <f>SUM(F18:F32)+SUM(F36:F50)</f>
        <v/>
      </c>
    </row>
    <row r="10">
      <c r="B10" s="58" t="inlineStr">
        <is>
          <t>Sticker Value</t>
        </is>
      </c>
      <c r="E10" s="58" t="inlineStr">
        <is>
          <t>Total Savings</t>
        </is>
      </c>
      <c r="H10" s="58" t="inlineStr">
        <is>
          <t>Blended CPP</t>
        </is>
      </c>
      <c r="J10" s="58" t="inlineStr">
        <is>
          <t>% Off Sticker</t>
        </is>
      </c>
    </row>
    <row r="11" ht="28" customHeight="1">
      <c r="B11" s="59">
        <f>SUM(H18:H32)+SUM(H36:H50)</f>
        <v/>
      </c>
      <c r="E11" s="59">
        <f>IFERROR((SUM(H18:H32)+SUM(H36:H50))-(SUM(G18:G32)+SUM(G36:G50)),0)</f>
        <v/>
      </c>
      <c r="H11" s="61">
        <f>IFERROR(E11/J8*100,0)</f>
        <v/>
      </c>
      <c r="J11" s="62">
        <f>IFERROR(E11/B11,0)</f>
        <v/>
      </c>
    </row>
    <row r="13">
      <c r="B13" s="58" t="inlineStr">
        <is>
          <t>Airline Points</t>
        </is>
      </c>
      <c r="E13" s="58" t="inlineStr">
        <is>
          <t>Airline CPP</t>
        </is>
      </c>
      <c r="H13" s="58" t="inlineStr">
        <is>
          <t>Hotel Points</t>
        </is>
      </c>
      <c r="J13" s="58" t="inlineStr">
        <is>
          <t>Hotel CPP</t>
        </is>
      </c>
    </row>
    <row r="14" ht="28" customHeight="1">
      <c r="B14" s="60">
        <f>SUM(F18:F32)</f>
        <v/>
      </c>
      <c r="E14" s="61">
        <f>IFERROR((SUM(H18:H32)-SUM(G18:G32))/SUM(F18:F32)*100,0)</f>
        <v/>
      </c>
      <c r="H14" s="60">
        <f>SUM(F36:F50)</f>
        <v/>
      </c>
      <c r="J14" s="61">
        <f>IFERROR((SUM(H36:H50)-SUM(G36:G50))/SUM(F36:F50)*100,0)</f>
        <v/>
      </c>
    </row>
    <row r="16" ht="26" customHeight="1">
      <c r="B16" s="57" t="inlineStr">
        <is>
          <t xml:space="preserve">  FLIGHTS</t>
        </is>
      </c>
    </row>
    <row r="17" ht="32" customHeight="1">
      <c r="B17" s="63" t="inlineStr">
        <is>
          <t>Date</t>
        </is>
      </c>
      <c r="C17" s="63" t="inlineStr">
        <is>
          <t>Airline</t>
        </is>
      </c>
      <c r="D17" s="63" t="inlineStr">
        <is>
          <t>Route</t>
        </is>
      </c>
      <c r="E17" s="63" t="inlineStr">
        <is>
          <t>Class</t>
        </is>
      </c>
      <c r="F17" s="63" t="inlineStr">
        <is>
          <t>Points</t>
        </is>
      </c>
      <c r="G17" s="63" t="inlineStr">
        <is>
          <t>Tax + Fee ($)</t>
        </is>
      </c>
      <c r="H17" s="63" t="inlineStr">
        <is>
          <t>Sticker ($)</t>
        </is>
      </c>
      <c r="I17" s="63" t="inlineStr">
        <is>
          <t>CPP (¢)</t>
        </is>
      </c>
      <c r="J17" s="63" t="inlineStr">
        <is>
          <t>Savings ($)</t>
        </is>
      </c>
      <c r="K17" s="63" t="inlineStr">
        <is>
          <t>% Off</t>
        </is>
      </c>
      <c r="L17" s="63" t="inlineStr">
        <is>
          <t>Notes</t>
        </is>
      </c>
    </row>
    <row r="18">
      <c r="B18" s="82" t="n">
        <v>46230</v>
      </c>
      <c r="C18" s="83" t="inlineStr">
        <is>
          <t>Drive/Train</t>
        </is>
      </c>
      <c r="D18" s="83" t="inlineStr">
        <is>
          <t>JFK-BOS positioning</t>
        </is>
      </c>
      <c r="E18" s="83" t="inlineStr">
        <is>
          <t>Cash</t>
        </is>
      </c>
      <c r="F18" s="66" t="n">
        <v>0</v>
      </c>
      <c r="G18" s="67" t="n">
        <v>0</v>
      </c>
      <c r="H18" s="67" t="n">
        <v>0</v>
      </c>
      <c r="I18" s="68">
        <f>IF(OR(F18="",F18=0,H18="",H18=0),"",(H18-G18)/F18*100)</f>
        <v/>
      </c>
      <c r="J18" s="67">
        <f>IF(OR(H18="",H18=0),"",MAX(H18-G18,0))</f>
        <v/>
      </c>
      <c r="K18" s="84">
        <f>IF(OR(H18="",H18=0),"",MAX((H18-G18)/H18,0))</f>
        <v/>
      </c>
      <c r="L18" s="83" t="inlineStr">
        <is>
          <t>Drive/train</t>
        </is>
      </c>
    </row>
    <row r="19">
      <c r="B19" s="85" t="n">
        <v>46231</v>
      </c>
      <c r="C19" s="86" t="inlineStr">
        <is>
          <t>Alaska</t>
        </is>
      </c>
      <c r="D19" s="86" t="inlineStr">
        <is>
          <t>BOS-BCN</t>
        </is>
      </c>
      <c r="E19" s="86" t="inlineStr">
        <is>
          <t>Business</t>
        </is>
      </c>
      <c r="F19" s="71" t="n">
        <v>170000</v>
      </c>
      <c r="G19" s="72" t="n">
        <v>22.4</v>
      </c>
      <c r="H19" s="72" t="n">
        <v>15200</v>
      </c>
      <c r="I19" s="73">
        <f>IF(OR(F19="",F19=0,H19="",H19=0),"",(H19-G19)/F19*100)</f>
        <v/>
      </c>
      <c r="J19" s="72">
        <f>IF(OR(H19="",H19=0),"",MAX(H19-G19,0))</f>
        <v/>
      </c>
      <c r="K19" s="87">
        <f>IF(OR(H19="",H19=0),"",MAX((H19-G19)/H19,0))</f>
        <v/>
      </c>
      <c r="L19" s="86" t="inlineStr">
        <is>
          <t>Sweet spot via ATMOS</t>
        </is>
      </c>
    </row>
    <row r="20">
      <c r="B20" s="82" t="n">
        <v>46235</v>
      </c>
      <c r="C20" s="83" t="inlineStr">
        <is>
          <t>Vueling</t>
        </is>
      </c>
      <c r="D20" s="83" t="inlineStr">
        <is>
          <t>BCN-BIO</t>
        </is>
      </c>
      <c r="E20" s="83" t="inlineStr">
        <is>
          <t>Economy</t>
        </is>
      </c>
      <c r="F20" s="66" t="n">
        <v>0</v>
      </c>
      <c r="G20" s="67" t="n">
        <v>423.2</v>
      </c>
      <c r="H20" s="67" t="n">
        <v>423.2</v>
      </c>
      <c r="I20" s="68">
        <f>IF(OR(F20="",F20=0,H20="",H20=0),"",(H20-G20)/F20*100)</f>
        <v/>
      </c>
      <c r="J20" s="67">
        <f>IF(OR(H20="",H20=0),"",MAX(H20-G20,0))</f>
        <v/>
      </c>
      <c r="K20" s="84">
        <f>IF(OR(H20="",H20=0),"",MAX((H20-G20)/H20,0))</f>
        <v/>
      </c>
      <c r="L20" s="83" t="inlineStr">
        <is>
          <t>VY1430 AF37KV</t>
        </is>
      </c>
    </row>
    <row r="21">
      <c r="B21" s="85" t="n">
        <v>46238</v>
      </c>
      <c r="C21" s="86" t="inlineStr">
        <is>
          <t>Vueling</t>
        </is>
      </c>
      <c r="D21" s="86" t="inlineStr">
        <is>
          <t>BIO-VLC</t>
        </is>
      </c>
      <c r="E21" s="86" t="inlineStr">
        <is>
          <t>Economy</t>
        </is>
      </c>
      <c r="F21" s="71" t="n">
        <v>0</v>
      </c>
      <c r="G21" s="72" t="n">
        <v>426</v>
      </c>
      <c r="H21" s="72" t="n">
        <v>426</v>
      </c>
      <c r="I21" s="73">
        <f>IF(OR(F21="",F21=0,H21="",H21=0),"",(H21-G21)/F21*100)</f>
        <v/>
      </c>
      <c r="J21" s="72">
        <f>IF(OR(H21="",H21=0),"",MAX(H21-G21,0))</f>
        <v/>
      </c>
      <c r="K21" s="87">
        <f>IF(OR(H21="",H21=0),"",MAX((H21-G21)/H21,0))</f>
        <v/>
      </c>
      <c r="L21" s="86" t="inlineStr">
        <is>
          <t>VY3972 VF8SUL</t>
        </is>
      </c>
    </row>
    <row r="22">
      <c r="B22" s="82" t="n">
        <v>46242</v>
      </c>
      <c r="C22" s="83" t="inlineStr">
        <is>
          <t>AF/KLM</t>
        </is>
      </c>
      <c r="D22" s="83" t="inlineStr">
        <is>
          <t>VLC-JFK</t>
        </is>
      </c>
      <c r="E22" s="83" t="inlineStr">
        <is>
          <t>Business</t>
        </is>
      </c>
      <c r="F22" s="66" t="n">
        <v>268000</v>
      </c>
      <c r="G22" s="67" t="n">
        <v>1744</v>
      </c>
      <c r="H22" s="67" t="n">
        <v>13192</v>
      </c>
      <c r="I22" s="68">
        <f>IF(OR(F22="",F22=0,H22="",H22=0),"",(H22-G22)/F22*100)</f>
        <v/>
      </c>
      <c r="J22" s="67">
        <f>IF(OR(H22="",H22=0),"",MAX(H22-G22,0))</f>
        <v/>
      </c>
      <c r="K22" s="84">
        <f>IF(OR(H22="",H22=0),"",MAX((H22-G22)/H22,0))</f>
        <v/>
      </c>
      <c r="L22" s="83" t="inlineStr">
        <is>
          <t>Return via Amex</t>
        </is>
      </c>
    </row>
    <row r="23">
      <c r="B23" s="85" t="n"/>
      <c r="C23" s="86" t="n"/>
      <c r="D23" s="86" t="n"/>
      <c r="E23" s="86" t="n"/>
      <c r="F23" s="71" t="n"/>
      <c r="G23" s="72" t="n"/>
      <c r="H23" s="72" t="n"/>
      <c r="I23" s="73">
        <f>IF(OR(F23="",F23=0,H23="",H23=0),"",(H23-G23)/F23*100)</f>
        <v/>
      </c>
      <c r="J23" s="72">
        <f>IF(OR(H23="",H23=0),"",MAX(H23-G23,0))</f>
        <v/>
      </c>
      <c r="K23" s="87">
        <f>IF(OR(H23="",H23=0),"",MAX((H23-G23)/H23,0))</f>
        <v/>
      </c>
      <c r="L23" s="86" t="n"/>
    </row>
    <row r="24">
      <c r="B24" s="82" t="n"/>
      <c r="C24" s="83" t="n"/>
      <c r="D24" s="83" t="n"/>
      <c r="E24" s="83" t="n"/>
      <c r="F24" s="66" t="n"/>
      <c r="G24" s="67" t="n"/>
      <c r="H24" s="67" t="n"/>
      <c r="I24" s="68">
        <f>IF(OR(F24="",F24=0,H24="",H24=0),"",(H24-G24)/F24*100)</f>
        <v/>
      </c>
      <c r="J24" s="67">
        <f>IF(OR(H24="",H24=0),"",MAX(H24-G24,0))</f>
        <v/>
      </c>
      <c r="K24" s="84">
        <f>IF(OR(H24="",H24=0),"",MAX((H24-G24)/H24,0))</f>
        <v/>
      </c>
      <c r="L24" s="83" t="n"/>
    </row>
    <row r="25">
      <c r="B25" s="85" t="n"/>
      <c r="C25" s="86" t="n"/>
      <c r="D25" s="86" t="n"/>
      <c r="E25" s="86" t="n"/>
      <c r="F25" s="71" t="n"/>
      <c r="G25" s="72" t="n"/>
      <c r="H25" s="72" t="n"/>
      <c r="I25" s="73">
        <f>IF(OR(F25="",F25=0,H25="",H25=0),"",(H25-G25)/F25*100)</f>
        <v/>
      </c>
      <c r="J25" s="72">
        <f>IF(OR(H25="",H25=0),"",MAX(H25-G25,0))</f>
        <v/>
      </c>
      <c r="K25" s="87">
        <f>IF(OR(H25="",H25=0),"",MAX((H25-G25)/H25,0))</f>
        <v/>
      </c>
      <c r="L25" s="86" t="n"/>
    </row>
    <row r="26">
      <c r="B26" s="82" t="n"/>
      <c r="C26" s="83" t="n"/>
      <c r="D26" s="83" t="n"/>
      <c r="E26" s="83" t="n"/>
      <c r="F26" s="66" t="n"/>
      <c r="G26" s="67" t="n"/>
      <c r="H26" s="67" t="n"/>
      <c r="I26" s="68">
        <f>IF(OR(F26="",F26=0,H26="",H26=0),"",(H26-G26)/F26*100)</f>
        <v/>
      </c>
      <c r="J26" s="67">
        <f>IF(OR(H26="",H26=0),"",MAX(H26-G26,0))</f>
        <v/>
      </c>
      <c r="K26" s="84">
        <f>IF(OR(H26="",H26=0),"",MAX((H26-G26)/H26,0))</f>
        <v/>
      </c>
      <c r="L26" s="83" t="n"/>
    </row>
    <row r="27">
      <c r="B27" s="85" t="n"/>
      <c r="C27" s="86" t="n"/>
      <c r="D27" s="86" t="n"/>
      <c r="E27" s="86" t="n"/>
      <c r="F27" s="71" t="n"/>
      <c r="G27" s="72" t="n"/>
      <c r="H27" s="72" t="n"/>
      <c r="I27" s="73">
        <f>IF(OR(F27="",F27=0,H27="",H27=0),"",(H27-G27)/F27*100)</f>
        <v/>
      </c>
      <c r="J27" s="72">
        <f>IF(OR(H27="",H27=0),"",MAX(H27-G27,0))</f>
        <v/>
      </c>
      <c r="K27" s="87">
        <f>IF(OR(H27="",H27=0),"",MAX((H27-G27)/H27,0))</f>
        <v/>
      </c>
      <c r="L27" s="86" t="n"/>
    </row>
    <row r="28">
      <c r="B28" s="82" t="n"/>
      <c r="C28" s="83" t="n"/>
      <c r="D28" s="83" t="n"/>
      <c r="E28" s="83" t="n"/>
      <c r="F28" s="66" t="n"/>
      <c r="G28" s="67" t="n"/>
      <c r="H28" s="67" t="n"/>
      <c r="I28" s="68">
        <f>IF(OR(F28="",F28=0,H28="",H28=0),"",(H28-G28)/F28*100)</f>
        <v/>
      </c>
      <c r="J28" s="67">
        <f>IF(OR(H28="",H28=0),"",MAX(H28-G28,0))</f>
        <v/>
      </c>
      <c r="K28" s="84">
        <f>IF(OR(H28="",H28=0),"",MAX((H28-G28)/H28,0))</f>
        <v/>
      </c>
      <c r="L28" s="83" t="n"/>
    </row>
    <row r="29">
      <c r="B29" s="85" t="n"/>
      <c r="C29" s="86" t="n"/>
      <c r="D29" s="86" t="n"/>
      <c r="E29" s="86" t="n"/>
      <c r="F29" s="71" t="n"/>
      <c r="G29" s="72" t="n"/>
      <c r="H29" s="72" t="n"/>
      <c r="I29" s="73">
        <f>IF(OR(F29="",F29=0,H29="",H29=0),"",(H29-G29)/F29*100)</f>
        <v/>
      </c>
      <c r="J29" s="72">
        <f>IF(OR(H29="",H29=0),"",MAX(H29-G29,0))</f>
        <v/>
      </c>
      <c r="K29" s="87">
        <f>IF(OR(H29="",H29=0),"",MAX((H29-G29)/H29,0))</f>
        <v/>
      </c>
      <c r="L29" s="86" t="n"/>
    </row>
    <row r="30">
      <c r="B30" s="82" t="n"/>
      <c r="C30" s="83" t="n"/>
      <c r="D30" s="83" t="n"/>
      <c r="E30" s="83" t="n"/>
      <c r="F30" s="66" t="n"/>
      <c r="G30" s="67" t="n"/>
      <c r="H30" s="67" t="n"/>
      <c r="I30" s="68">
        <f>IF(OR(F30="",F30=0,H30="",H30=0),"",(H30-G30)/F30*100)</f>
        <v/>
      </c>
      <c r="J30" s="67">
        <f>IF(OR(H30="",H30=0),"",MAX(H30-G30,0))</f>
        <v/>
      </c>
      <c r="K30" s="84">
        <f>IF(OR(H30="",H30=0),"",MAX((H30-G30)/H30,0))</f>
        <v/>
      </c>
      <c r="L30" s="83" t="n"/>
    </row>
    <row r="31">
      <c r="B31" s="85" t="n"/>
      <c r="C31" s="86" t="n"/>
      <c r="D31" s="86" t="n"/>
      <c r="E31" s="86" t="n"/>
      <c r="F31" s="71" t="n"/>
      <c r="G31" s="72" t="n"/>
      <c r="H31" s="72" t="n"/>
      <c r="I31" s="73">
        <f>IF(OR(F31="",F31=0,H31="",H31=0),"",(H31-G31)/F31*100)</f>
        <v/>
      </c>
      <c r="J31" s="72">
        <f>IF(OR(H31="",H31=0),"",MAX(H31-G31,0))</f>
        <v/>
      </c>
      <c r="K31" s="87">
        <f>IF(OR(H31="",H31=0),"",MAX((H31-G31)/H31,0))</f>
        <v/>
      </c>
      <c r="L31" s="86" t="n"/>
    </row>
    <row r="32">
      <c r="B32" s="82" t="n"/>
      <c r="C32" s="83" t="n"/>
      <c r="D32" s="83" t="n"/>
      <c r="E32" s="83" t="n"/>
      <c r="F32" s="66" t="n"/>
      <c r="G32" s="67" t="n"/>
      <c r="H32" s="67" t="n"/>
      <c r="I32" s="68">
        <f>IF(OR(F32="",F32=0,H32="",H32=0),"",(H32-G32)/F32*100)</f>
        <v/>
      </c>
      <c r="J32" s="67">
        <f>IF(OR(H32="",H32=0),"",MAX(H32-G32,0))</f>
        <v/>
      </c>
      <c r="K32" s="84">
        <f>IF(OR(H32="",H32=0),"",MAX((H32-G32)/H32,0))</f>
        <v/>
      </c>
      <c r="L32" s="83" t="n"/>
    </row>
    <row r="34" ht="26" customHeight="1">
      <c r="B34" s="57" t="inlineStr">
        <is>
          <t xml:space="preserve">  HOTELS</t>
        </is>
      </c>
    </row>
    <row r="35" ht="32" customHeight="1">
      <c r="B35" s="63" t="inlineStr">
        <is>
          <t>Check-in</t>
        </is>
      </c>
      <c r="C35" s="63" t="inlineStr">
        <is>
          <t>Hotel</t>
        </is>
      </c>
      <c r="D35" s="63" t="inlineStr">
        <is>
          <t>Location</t>
        </is>
      </c>
      <c r="E35" s="63" t="inlineStr">
        <is>
          <t>Nights</t>
        </is>
      </c>
      <c r="F35" s="63" t="inlineStr">
        <is>
          <t>Points</t>
        </is>
      </c>
      <c r="G35" s="63" t="inlineStr">
        <is>
          <t>Tax + Fee ($)</t>
        </is>
      </c>
      <c r="H35" s="63" t="inlineStr">
        <is>
          <t>Sticker ($)</t>
        </is>
      </c>
      <c r="I35" s="63" t="inlineStr">
        <is>
          <t>CPP (¢)</t>
        </is>
      </c>
      <c r="J35" s="63" t="inlineStr">
        <is>
          <t>Savings ($)</t>
        </is>
      </c>
      <c r="K35" s="63" t="inlineStr">
        <is>
          <t>% Off</t>
        </is>
      </c>
      <c r="L35" s="63" t="inlineStr">
        <is>
          <t>Notes</t>
        </is>
      </c>
    </row>
    <row r="36">
      <c r="B36" s="82" t="n">
        <v>46231</v>
      </c>
      <c r="C36" s="83" t="inlineStr">
        <is>
          <t>InterContinental BCN</t>
        </is>
      </c>
      <c r="D36" s="83" t="inlineStr">
        <is>
          <t>Barcelona</t>
        </is>
      </c>
      <c r="E36" s="88" t="n">
        <v>4</v>
      </c>
      <c r="F36" s="66" t="n">
        <v>0</v>
      </c>
      <c r="G36" s="67" t="n">
        <v>931.74</v>
      </c>
      <c r="H36" s="67" t="n">
        <v>1981.74</v>
      </c>
      <c r="I36" s="68">
        <f>IF(OR(F36="",F36=0,H36="",H36=0),"",(H36-G36)/F36*100)</f>
        <v/>
      </c>
      <c r="J36" s="67">
        <f>IF(OR(H36="",H36=0),"",MAX(H36-G36,0))</f>
        <v/>
      </c>
      <c r="K36" s="84">
        <f>IF(OR(H36="",H36=0),"",MAX((H36-G36)/H36,0))</f>
        <v/>
      </c>
      <c r="L36" s="83" t="inlineStr">
        <is>
          <t>CSR + $500 Chase Edit credit</t>
        </is>
      </c>
    </row>
    <row r="37">
      <c r="B37" s="85" t="n"/>
      <c r="C37" s="86" t="n"/>
      <c r="D37" s="86" t="n"/>
      <c r="E37" s="89" t="n"/>
      <c r="F37" s="71" t="n"/>
      <c r="G37" s="72" t="n"/>
      <c r="H37" s="72" t="n"/>
      <c r="I37" s="73">
        <f>IF(OR(F37="",F37=0,H37="",H37=0),"",(H37-G37)/F37*100)</f>
        <v/>
      </c>
      <c r="J37" s="72">
        <f>IF(OR(H37="",H37=0),"",MAX(H37-G37,0))</f>
        <v/>
      </c>
      <c r="K37" s="87">
        <f>IF(OR(H37="",H37=0),"",MAX((H37-G37)/H37,0))</f>
        <v/>
      </c>
      <c r="L37" s="86" t="n"/>
    </row>
    <row r="38">
      <c r="B38" s="82" t="n"/>
      <c r="C38" s="83" t="n"/>
      <c r="D38" s="83" t="n"/>
      <c r="E38" s="88" t="n"/>
      <c r="F38" s="66" t="n"/>
      <c r="G38" s="67" t="n"/>
      <c r="H38" s="67" t="n"/>
      <c r="I38" s="68">
        <f>IF(OR(F38="",F38=0,H38="",H38=0),"",(H38-G38)/F38*100)</f>
        <v/>
      </c>
      <c r="J38" s="67">
        <f>IF(OR(H38="",H38=0),"",MAX(H38-G38,0))</f>
        <v/>
      </c>
      <c r="K38" s="84">
        <f>IF(OR(H38="",H38=0),"",MAX((H38-G38)/H38,0))</f>
        <v/>
      </c>
      <c r="L38" s="83" t="n"/>
    </row>
    <row r="39">
      <c r="B39" s="85" t="n"/>
      <c r="C39" s="86" t="n"/>
      <c r="D39" s="86" t="n"/>
      <c r="E39" s="89" t="n"/>
      <c r="F39" s="71" t="n"/>
      <c r="G39" s="72" t="n"/>
      <c r="H39" s="72" t="n"/>
      <c r="I39" s="73">
        <f>IF(OR(F39="",F39=0,H39="",H39=0),"",(H39-G39)/F39*100)</f>
        <v/>
      </c>
      <c r="J39" s="72">
        <f>IF(OR(H39="",H39=0),"",MAX(H39-G39,0))</f>
        <v/>
      </c>
      <c r="K39" s="87">
        <f>IF(OR(H39="",H39=0),"",MAX((H39-G39)/H39,0))</f>
        <v/>
      </c>
      <c r="L39" s="86" t="n"/>
    </row>
    <row r="40">
      <c r="B40" s="82" t="n"/>
      <c r="C40" s="83" t="n"/>
      <c r="D40" s="83" t="n"/>
      <c r="E40" s="88" t="n"/>
      <c r="F40" s="66" t="n"/>
      <c r="G40" s="67" t="n"/>
      <c r="H40" s="67" t="n"/>
      <c r="I40" s="68">
        <f>IF(OR(F40="",F40=0,H40="",H40=0),"",(H40-G40)/F40*100)</f>
        <v/>
      </c>
      <c r="J40" s="67">
        <f>IF(OR(H40="",H40=0),"",MAX(H40-G40,0))</f>
        <v/>
      </c>
      <c r="K40" s="84">
        <f>IF(OR(H40="",H40=0),"",MAX((H40-G40)/H40,0))</f>
        <v/>
      </c>
      <c r="L40" s="83" t="n"/>
    </row>
    <row r="41">
      <c r="B41" s="85" t="n"/>
      <c r="C41" s="86" t="n"/>
      <c r="D41" s="86" t="n"/>
      <c r="E41" s="89" t="n"/>
      <c r="F41" s="71" t="n"/>
      <c r="G41" s="72" t="n"/>
      <c r="H41" s="72" t="n"/>
      <c r="I41" s="73">
        <f>IF(OR(F41="",F41=0,H41="",H41=0),"",(H41-G41)/F41*100)</f>
        <v/>
      </c>
      <c r="J41" s="72">
        <f>IF(OR(H41="",H41=0),"",MAX(H41-G41,0))</f>
        <v/>
      </c>
      <c r="K41" s="87">
        <f>IF(OR(H41="",H41=0),"",MAX((H41-G41)/H41,0))</f>
        <v/>
      </c>
      <c r="L41" s="86" t="n"/>
    </row>
    <row r="42">
      <c r="B42" s="82" t="n"/>
      <c r="C42" s="83" t="n"/>
      <c r="D42" s="83" t="n"/>
      <c r="E42" s="88" t="n"/>
      <c r="F42" s="66" t="n"/>
      <c r="G42" s="67" t="n"/>
      <c r="H42" s="67" t="n"/>
      <c r="I42" s="68">
        <f>IF(OR(F42="",F42=0,H42="",H42=0),"",(H42-G42)/F42*100)</f>
        <v/>
      </c>
      <c r="J42" s="67">
        <f>IF(OR(H42="",H42=0),"",MAX(H42-G42,0))</f>
        <v/>
      </c>
      <c r="K42" s="84">
        <f>IF(OR(H42="",H42=0),"",MAX((H42-G42)/H42,0))</f>
        <v/>
      </c>
      <c r="L42" s="83" t="n"/>
    </row>
    <row r="43">
      <c r="B43" s="85" t="n"/>
      <c r="C43" s="86" t="n"/>
      <c r="D43" s="86" t="n"/>
      <c r="E43" s="89" t="n"/>
      <c r="F43" s="71" t="n"/>
      <c r="G43" s="72" t="n"/>
      <c r="H43" s="72" t="n"/>
      <c r="I43" s="73">
        <f>IF(OR(F43="",F43=0,H43="",H43=0),"",(H43-G43)/F43*100)</f>
        <v/>
      </c>
      <c r="J43" s="72">
        <f>IF(OR(H43="",H43=0),"",MAX(H43-G43,0))</f>
        <v/>
      </c>
      <c r="K43" s="87">
        <f>IF(OR(H43="",H43=0),"",MAX((H43-G43)/H43,0))</f>
        <v/>
      </c>
      <c r="L43" s="86" t="n"/>
    </row>
    <row r="44">
      <c r="B44" s="82" t="n"/>
      <c r="C44" s="83" t="n"/>
      <c r="D44" s="83" t="n"/>
      <c r="E44" s="88" t="n"/>
      <c r="F44" s="66" t="n"/>
      <c r="G44" s="67" t="n"/>
      <c r="H44" s="67" t="n"/>
      <c r="I44" s="68">
        <f>IF(OR(F44="",F44=0,H44="",H44=0),"",(H44-G44)/F44*100)</f>
        <v/>
      </c>
      <c r="J44" s="67">
        <f>IF(OR(H44="",H44=0),"",MAX(H44-G44,0))</f>
        <v/>
      </c>
      <c r="K44" s="84">
        <f>IF(OR(H44="",H44=0),"",MAX((H44-G44)/H44,0))</f>
        <v/>
      </c>
      <c r="L44" s="83" t="n"/>
    </row>
    <row r="45">
      <c r="B45" s="85" t="n"/>
      <c r="C45" s="86" t="n"/>
      <c r="D45" s="86" t="n"/>
      <c r="E45" s="89" t="n"/>
      <c r="F45" s="71" t="n"/>
      <c r="G45" s="72" t="n"/>
      <c r="H45" s="72" t="n"/>
      <c r="I45" s="73">
        <f>IF(OR(F45="",F45=0,H45="",H45=0),"",(H45-G45)/F45*100)</f>
        <v/>
      </c>
      <c r="J45" s="72">
        <f>IF(OR(H45="",H45=0),"",MAX(H45-G45,0))</f>
        <v/>
      </c>
      <c r="K45" s="87">
        <f>IF(OR(H45="",H45=0),"",MAX((H45-G45)/H45,0))</f>
        <v/>
      </c>
      <c r="L45" s="86" t="n"/>
    </row>
    <row r="46">
      <c r="B46" s="82" t="n"/>
      <c r="C46" s="83" t="n"/>
      <c r="D46" s="83" t="n"/>
      <c r="E46" s="88" t="n"/>
      <c r="F46" s="66" t="n"/>
      <c r="G46" s="67" t="n"/>
      <c r="H46" s="67" t="n"/>
      <c r="I46" s="68">
        <f>IF(OR(F46="",F46=0,H46="",H46=0),"",(H46-G46)/F46*100)</f>
        <v/>
      </c>
      <c r="J46" s="67">
        <f>IF(OR(H46="",H46=0),"",MAX(H46-G46,0))</f>
        <v/>
      </c>
      <c r="K46" s="84">
        <f>IF(OR(H46="",H46=0),"",MAX((H46-G46)/H46,0))</f>
        <v/>
      </c>
      <c r="L46" s="83" t="n"/>
    </row>
    <row r="47">
      <c r="B47" s="85" t="n"/>
      <c r="C47" s="86" t="n"/>
      <c r="D47" s="86" t="n"/>
      <c r="E47" s="89" t="n"/>
      <c r="F47" s="71" t="n"/>
      <c r="G47" s="72" t="n"/>
      <c r="H47" s="72" t="n"/>
      <c r="I47" s="73">
        <f>IF(OR(F47="",F47=0,H47="",H47=0),"",(H47-G47)/F47*100)</f>
        <v/>
      </c>
      <c r="J47" s="72">
        <f>IF(OR(H47="",H47=0),"",MAX(H47-G47,0))</f>
        <v/>
      </c>
      <c r="K47" s="87">
        <f>IF(OR(H47="",H47=0),"",MAX((H47-G47)/H47,0))</f>
        <v/>
      </c>
      <c r="L47" s="86" t="n"/>
    </row>
    <row r="48">
      <c r="B48" s="82" t="n"/>
      <c r="C48" s="83" t="n"/>
      <c r="D48" s="83" t="n"/>
      <c r="E48" s="88" t="n"/>
      <c r="F48" s="66" t="n"/>
      <c r="G48" s="67" t="n"/>
      <c r="H48" s="67" t="n"/>
      <c r="I48" s="68">
        <f>IF(OR(F48="",F48=0,H48="",H48=0),"",(H48-G48)/F48*100)</f>
        <v/>
      </c>
      <c r="J48" s="67">
        <f>IF(OR(H48="",H48=0),"",MAX(H48-G48,0))</f>
        <v/>
      </c>
      <c r="K48" s="84">
        <f>IF(OR(H48="",H48=0),"",MAX((H48-G48)/H48,0))</f>
        <v/>
      </c>
      <c r="L48" s="83" t="n"/>
    </row>
    <row r="49">
      <c r="B49" s="85" t="n"/>
      <c r="C49" s="86" t="n"/>
      <c r="D49" s="86" t="n"/>
      <c r="E49" s="89" t="n"/>
      <c r="F49" s="71" t="n"/>
      <c r="G49" s="72" t="n"/>
      <c r="H49" s="72" t="n"/>
      <c r="I49" s="73">
        <f>IF(OR(F49="",F49=0,H49="",H49=0),"",(H49-G49)/F49*100)</f>
        <v/>
      </c>
      <c r="J49" s="72">
        <f>IF(OR(H49="",H49=0),"",MAX(H49-G49,0))</f>
        <v/>
      </c>
      <c r="K49" s="87">
        <f>IF(OR(H49="",H49=0),"",MAX((H49-G49)/H49,0))</f>
        <v/>
      </c>
      <c r="L49" s="86" t="n"/>
    </row>
    <row r="50">
      <c r="B50" s="82" t="n"/>
      <c r="C50" s="83" t="n"/>
      <c r="D50" s="83" t="n"/>
      <c r="E50" s="88" t="n"/>
      <c r="F50" s="66" t="n"/>
      <c r="G50" s="67" t="n"/>
      <c r="H50" s="67" t="n"/>
      <c r="I50" s="68">
        <f>IF(OR(F50="",F50=0,H50="",H50=0),"",(H50-G50)/F50*100)</f>
        <v/>
      </c>
      <c r="J50" s="67">
        <f>IF(OR(H50="",H50=0),"",MAX(H50-G50,0))</f>
        <v/>
      </c>
      <c r="K50" s="84">
        <f>IF(OR(H50="",H50=0),"",MAX((H50-G50)/H50,0))</f>
        <v/>
      </c>
      <c r="L50" s="83" t="n"/>
    </row>
    <row r="52" ht="26" customHeight="1">
      <c r="B52" s="57" t="inlineStr">
        <is>
          <t xml:space="preserve">  ACTIVITIES &amp; EXPERIENCES</t>
        </is>
      </c>
    </row>
    <row r="53" ht="32" customHeight="1">
      <c r="B53" s="63" t="inlineStr">
        <is>
          <t>Date</t>
        </is>
      </c>
      <c r="C53" s="63" t="inlineStr">
        <is>
          <t>Activity</t>
        </is>
      </c>
      <c r="D53" s="63" t="inlineStr">
        <is>
          <t>Vendor</t>
        </is>
      </c>
      <c r="E53" s="63" t="inlineStr">
        <is>
          <t>Travelers</t>
        </is>
      </c>
      <c r="F53" s="63" t="inlineStr"/>
      <c r="G53" s="63" t="inlineStr"/>
      <c r="H53" s="63" t="inlineStr"/>
      <c r="I53" s="63" t="inlineStr">
        <is>
          <t>Cash ($)</t>
        </is>
      </c>
      <c r="J53" s="63" t="inlineStr">
        <is>
          <t>Currency</t>
        </is>
      </c>
      <c r="K53" s="63" t="inlineStr">
        <is>
          <t>Category</t>
        </is>
      </c>
      <c r="L53" s="63" t="inlineStr">
        <is>
          <t>Notes</t>
        </is>
      </c>
    </row>
    <row r="54">
      <c r="B54" s="82" t="n">
        <v>46232</v>
      </c>
      <c r="C54" s="83" t="inlineStr">
        <is>
          <t>Barcelona Gothic/Sagrada Tour</t>
        </is>
      </c>
      <c r="D54" s="83" t="inlineStr">
        <is>
          <t>Viator</t>
        </is>
      </c>
      <c r="E54" s="88" t="n">
        <v>4</v>
      </c>
      <c r="F54" s="90" t="n"/>
      <c r="G54" s="90" t="n"/>
      <c r="H54" s="90" t="n">
        <v>524</v>
      </c>
      <c r="I54" s="67" t="inlineStr">
        <is>
          <t>USD</t>
        </is>
      </c>
      <c r="J54" s="90" t="inlineStr">
        <is>
          <t>Tours</t>
        </is>
      </c>
      <c r="K54" s="90" t="n"/>
      <c r="L54" s="83" t="inlineStr">
        <is>
          <t>Morning-afternoon</t>
        </is>
      </c>
    </row>
    <row r="55">
      <c r="B55" s="85" t="n">
        <v>46232</v>
      </c>
      <c r="C55" s="86" t="inlineStr">
        <is>
          <t>Museu de la Xocolata Workshop</t>
        </is>
      </c>
      <c r="D55" s="86" t="inlineStr">
        <is>
          <t>Direct</t>
        </is>
      </c>
      <c r="E55" s="89" t="n">
        <v>4</v>
      </c>
      <c r="F55" s="91" t="n"/>
      <c r="G55" s="91" t="n"/>
      <c r="H55" s="91" t="n">
        <v>52</v>
      </c>
      <c r="I55" s="72" t="inlineStr">
        <is>
          <t>USD</t>
        </is>
      </c>
      <c r="J55" s="91" t="inlineStr">
        <is>
          <t>Experiences</t>
        </is>
      </c>
      <c r="K55" s="91" t="n"/>
      <c r="L55" s="86" t="inlineStr">
        <is>
          <t>Book 2-3 wk ahead</t>
        </is>
      </c>
    </row>
    <row r="56">
      <c r="B56" s="82" t="n">
        <v>46233</v>
      </c>
      <c r="C56" s="83" t="inlineStr">
        <is>
          <t>Montserrat + Tapas + Winery</t>
        </is>
      </c>
      <c r="D56" s="83" t="inlineStr">
        <is>
          <t>Klook</t>
        </is>
      </c>
      <c r="E56" s="88" t="n">
        <v>4</v>
      </c>
      <c r="F56" s="90" t="n"/>
      <c r="G56" s="90" t="n"/>
      <c r="H56" s="90" t="n">
        <v>280.75</v>
      </c>
      <c r="I56" s="67" t="inlineStr">
        <is>
          <t>USD</t>
        </is>
      </c>
      <c r="J56" s="90" t="inlineStr">
        <is>
          <t>Tours</t>
        </is>
      </c>
      <c r="K56" s="90" t="n"/>
      <c r="L56" s="83" t="inlineStr"/>
    </row>
    <row r="57">
      <c r="B57" s="85" t="n">
        <v>46233</v>
      </c>
      <c r="C57" s="86" t="inlineStr">
        <is>
          <t>Mosaic Workshop</t>
        </is>
      </c>
      <c r="D57" s="86" t="inlineStr">
        <is>
          <t>GetMyGuide</t>
        </is>
      </c>
      <c r="E57" s="89" t="n">
        <v>4</v>
      </c>
      <c r="F57" s="91" t="n"/>
      <c r="G57" s="91" t="n"/>
      <c r="H57" s="91" t="n">
        <v>237.44</v>
      </c>
      <c r="I57" s="72" t="inlineStr">
        <is>
          <t>USD</t>
        </is>
      </c>
      <c r="J57" s="91" t="inlineStr">
        <is>
          <t>Experiences</t>
        </is>
      </c>
      <c r="K57" s="91" t="n"/>
      <c r="L57" s="86" t="inlineStr">
        <is>
          <t>mosaiccos.com</t>
        </is>
      </c>
    </row>
    <row r="58">
      <c r="B58" s="82" t="n">
        <v>46234</v>
      </c>
      <c r="C58" s="83" t="inlineStr">
        <is>
          <t>Barcelona Photoshoot</t>
        </is>
      </c>
      <c r="D58" s="83" t="inlineStr">
        <is>
          <t>GetMyGuide</t>
        </is>
      </c>
      <c r="E58" s="88" t="n">
        <v>4</v>
      </c>
      <c r="F58" s="90" t="n"/>
      <c r="G58" s="90" t="n"/>
      <c r="H58" s="90" t="n">
        <v>23.95</v>
      </c>
      <c r="I58" s="67" t="inlineStr">
        <is>
          <t>USD</t>
        </is>
      </c>
      <c r="J58" s="90" t="inlineStr">
        <is>
          <t>Photography</t>
        </is>
      </c>
      <c r="K58" s="90" t="n"/>
      <c r="L58" s="83" t="inlineStr">
        <is>
          <t>Family photoshoot</t>
        </is>
      </c>
    </row>
    <row r="59">
      <c r="B59" s="85" t="n">
        <v>46237</v>
      </c>
      <c r="C59" s="86" t="inlineStr">
        <is>
          <t>Elkano Lunch (1-star Michelin)</t>
        </is>
      </c>
      <c r="D59" s="86" t="inlineStr">
        <is>
          <t>Direct</t>
        </is>
      </c>
      <c r="E59" s="89" t="n">
        <v>4</v>
      </c>
      <c r="F59" s="91" t="n"/>
      <c r="G59" s="91" t="n"/>
      <c r="H59" s="91" t="n">
        <v>600</v>
      </c>
      <c r="I59" s="72" t="inlineStr">
        <is>
          <t>USD</t>
        </is>
      </c>
      <c r="J59" s="91" t="inlineStr">
        <is>
          <t>Dining</t>
        </is>
      </c>
      <c r="K59" s="91" t="n"/>
      <c r="L59" s="86" t="inlineStr">
        <is>
          <t>Reserve far ahead</t>
        </is>
      </c>
    </row>
    <row r="60">
      <c r="B60" s="82" t="n">
        <v>46239</v>
      </c>
      <c r="C60" s="83" t="inlineStr">
        <is>
          <t>Oceanografic Aquarium</t>
        </is>
      </c>
      <c r="D60" s="83" t="inlineStr">
        <is>
          <t>Klook</t>
        </is>
      </c>
      <c r="E60" s="88" t="n">
        <v>4</v>
      </c>
      <c r="F60" s="90" t="n"/>
      <c r="G60" s="90" t="n"/>
      <c r="H60" s="90" t="n">
        <v>174.08</v>
      </c>
      <c r="I60" s="67" t="inlineStr">
        <is>
          <t>USD</t>
        </is>
      </c>
      <c r="J60" s="90" t="inlineStr">
        <is>
          <t>Attractions</t>
        </is>
      </c>
      <c r="K60" s="90" t="n"/>
      <c r="L60" s="83" t="inlineStr">
        <is>
          <t>Valencia</t>
        </is>
      </c>
    </row>
    <row r="61">
      <c r="B61" s="85" t="n">
        <v>46240</v>
      </c>
      <c r="C61" s="86" t="inlineStr">
        <is>
          <t>Valencia Science Museum</t>
        </is>
      </c>
      <c r="D61" s="86" t="inlineStr">
        <is>
          <t>Klook</t>
        </is>
      </c>
      <c r="E61" s="89" t="n">
        <v>4</v>
      </c>
      <c r="F61" s="91" t="n"/>
      <c r="G61" s="91" t="n"/>
      <c r="H61" s="91" t="n">
        <v>40.68</v>
      </c>
      <c r="I61" s="72" t="inlineStr">
        <is>
          <t>USD</t>
        </is>
      </c>
      <c r="J61" s="91" t="inlineStr">
        <is>
          <t>Attractions</t>
        </is>
      </c>
      <c r="K61" s="91" t="n"/>
      <c r="L61" s="86" t="inlineStr"/>
    </row>
    <row r="62">
      <c r="B62" s="82" t="n"/>
      <c r="C62" s="83" t="n"/>
      <c r="D62" s="83" t="n"/>
      <c r="E62" s="88" t="n"/>
      <c r="F62" s="90" t="n"/>
      <c r="G62" s="90" t="n"/>
      <c r="H62" s="90" t="n"/>
      <c r="I62" s="67" t="n"/>
      <c r="J62" s="90" t="n"/>
      <c r="K62" s="90" t="n"/>
      <c r="L62" s="83" t="n"/>
    </row>
    <row r="63">
      <c r="B63" s="85" t="n"/>
      <c r="C63" s="86" t="n"/>
      <c r="D63" s="86" t="n"/>
      <c r="E63" s="89" t="n"/>
      <c r="F63" s="91" t="n"/>
      <c r="G63" s="91" t="n"/>
      <c r="H63" s="91" t="n"/>
      <c r="I63" s="72" t="n"/>
      <c r="J63" s="91" t="n"/>
      <c r="K63" s="91" t="n"/>
      <c r="L63" s="86" t="n"/>
    </row>
    <row r="64">
      <c r="B64" s="82" t="n"/>
      <c r="C64" s="83" t="n"/>
      <c r="D64" s="83" t="n"/>
      <c r="E64" s="88" t="n"/>
      <c r="F64" s="90" t="n"/>
      <c r="G64" s="90" t="n"/>
      <c r="H64" s="90" t="n"/>
      <c r="I64" s="67" t="n"/>
      <c r="J64" s="90" t="n"/>
      <c r="K64" s="90" t="n"/>
      <c r="L64" s="83" t="n"/>
    </row>
    <row r="65">
      <c r="B65" s="85" t="n"/>
      <c r="C65" s="86" t="n"/>
      <c r="D65" s="86" t="n"/>
      <c r="E65" s="89" t="n"/>
      <c r="F65" s="91" t="n"/>
      <c r="G65" s="91" t="n"/>
      <c r="H65" s="91" t="n"/>
      <c r="I65" s="72" t="n"/>
      <c r="J65" s="91" t="n"/>
      <c r="K65" s="91" t="n"/>
      <c r="L65" s="86" t="n"/>
    </row>
    <row r="66">
      <c r="B66" s="82" t="n"/>
      <c r="C66" s="83" t="n"/>
      <c r="D66" s="83" t="n"/>
      <c r="E66" s="88" t="n"/>
      <c r="F66" s="90" t="n"/>
      <c r="G66" s="90" t="n"/>
      <c r="H66" s="90" t="n"/>
      <c r="I66" s="67" t="n"/>
      <c r="J66" s="90" t="n"/>
      <c r="K66" s="90" t="n"/>
      <c r="L66" s="83" t="n"/>
    </row>
    <row r="67">
      <c r="B67" s="85" t="n"/>
      <c r="C67" s="86" t="n"/>
      <c r="D67" s="86" t="n"/>
      <c r="E67" s="89" t="n"/>
      <c r="F67" s="91" t="n"/>
      <c r="G67" s="91" t="n"/>
      <c r="H67" s="91" t="n"/>
      <c r="I67" s="72" t="n"/>
      <c r="J67" s="91" t="n"/>
      <c r="K67" s="91" t="n"/>
      <c r="L67" s="86" t="n"/>
    </row>
    <row r="68">
      <c r="B68" s="82" t="n"/>
      <c r="C68" s="83" t="n"/>
      <c r="D68" s="83" t="n"/>
      <c r="E68" s="88" t="n"/>
      <c r="F68" s="90" t="n"/>
      <c r="G68" s="90" t="n"/>
      <c r="H68" s="90" t="n"/>
      <c r="I68" s="67" t="n"/>
      <c r="J68" s="90" t="n"/>
      <c r="K68" s="90" t="n"/>
      <c r="L68" s="83" t="n"/>
    </row>
  </sheetData>
  <mergeCells count="31">
    <mergeCell ref="B7:C7"/>
    <mergeCell ref="B16:L16"/>
    <mergeCell ref="H10:I10"/>
    <mergeCell ref="J4:L4"/>
    <mergeCell ref="E14:F14"/>
    <mergeCell ref="E8:F8"/>
    <mergeCell ref="J11:L11"/>
    <mergeCell ref="J7:L7"/>
    <mergeCell ref="B52:L52"/>
    <mergeCell ref="B11:C11"/>
    <mergeCell ref="E10:F10"/>
    <mergeCell ref="B2:L2"/>
    <mergeCell ref="B14:C14"/>
    <mergeCell ref="E13:F13"/>
    <mergeCell ref="B8:C8"/>
    <mergeCell ref="B13:C13"/>
    <mergeCell ref="H11:I11"/>
    <mergeCell ref="H7:I7"/>
    <mergeCell ref="B10:C10"/>
    <mergeCell ref="E11:F11"/>
    <mergeCell ref="B34:L34"/>
    <mergeCell ref="F4:H4"/>
    <mergeCell ref="J8:L8"/>
    <mergeCell ref="H13:I13"/>
    <mergeCell ref="H14:I14"/>
    <mergeCell ref="J14:L14"/>
    <mergeCell ref="B6:L6"/>
    <mergeCell ref="J10:L10"/>
    <mergeCell ref="E7:F7"/>
    <mergeCell ref="J13:L13"/>
    <mergeCell ref="H8:I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68"/>
  <sheetViews>
    <sheetView showGridLines="0" zoomScale="10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22" customWidth="1" min="3" max="3"/>
    <col width="22" customWidth="1" min="4" max="4"/>
    <col width="12" customWidth="1" min="5" max="5"/>
    <col width="11" customWidth="1" min="6" max="6"/>
    <col width="13" customWidth="1" min="7" max="7"/>
    <col width="13" customWidth="1" min="8" max="8"/>
    <col width="11" customWidth="1" min="9" max="9"/>
    <col width="12" customWidth="1" min="10" max="10"/>
    <col width="9" customWidth="1" min="11" max="11"/>
    <col width="30" customWidth="1" min="12" max="12"/>
  </cols>
  <sheetData>
    <row r="2" ht="42" customHeight="1">
      <c r="B2" s="54" t="inlineStr">
        <is>
          <t>JAPAN 2027</t>
        </is>
      </c>
    </row>
    <row r="4" ht="22" customHeight="1">
      <c r="B4" s="80" t="inlineStr">
        <is>
          <t>Trip Name</t>
        </is>
      </c>
      <c r="C4" s="81" t="inlineStr">
        <is>
          <t>Japan Trip</t>
        </is>
      </c>
      <c r="E4" s="80" t="inlineStr">
        <is>
          <t>Dates</t>
        </is>
      </c>
      <c r="F4" s="81" t="inlineStr">
        <is>
          <t>Feb 5 - Feb 21, 2027</t>
        </is>
      </c>
      <c r="I4" s="80" t="inlineStr">
        <is>
          <t>Notes</t>
        </is>
      </c>
      <c r="J4" s="81" t="inlineStr">
        <is>
          <t>Tokyo / Sapporo / Kanazawa</t>
        </is>
      </c>
    </row>
    <row r="6" ht="26" customHeight="1">
      <c r="B6" s="57" t="inlineStr">
        <is>
          <t xml:space="preserve">  TRIP SUMMARY</t>
        </is>
      </c>
    </row>
    <row r="7">
      <c r="B7" s="58" t="inlineStr">
        <is>
          <t>Total Trip Cost</t>
        </is>
      </c>
      <c r="E7" s="58" t="inlineStr">
        <is>
          <t>Cash on Redemptions</t>
        </is>
      </c>
      <c r="H7" s="58" t="inlineStr">
        <is>
          <t>Activities Cash</t>
        </is>
      </c>
      <c r="J7" s="58" t="inlineStr">
        <is>
          <t>Points Used</t>
        </is>
      </c>
    </row>
    <row r="8" ht="28" customHeight="1">
      <c r="B8" s="59">
        <f>SUM(G18:G32)+SUM(G36:G50)+SUM(H54:H68)</f>
        <v/>
      </c>
      <c r="E8" s="59">
        <f>SUM(G18:G32)+SUM(G36:G50)</f>
        <v/>
      </c>
      <c r="H8" s="59">
        <f>SUM(H54:H68)</f>
        <v/>
      </c>
      <c r="J8" s="60">
        <f>SUM(F18:F32)+SUM(F36:F50)</f>
        <v/>
      </c>
    </row>
    <row r="10">
      <c r="B10" s="58" t="inlineStr">
        <is>
          <t>Sticker Value</t>
        </is>
      </c>
      <c r="E10" s="58" t="inlineStr">
        <is>
          <t>Total Savings</t>
        </is>
      </c>
      <c r="H10" s="58" t="inlineStr">
        <is>
          <t>Blended CPP</t>
        </is>
      </c>
      <c r="J10" s="58" t="inlineStr">
        <is>
          <t>% Off Sticker</t>
        </is>
      </c>
    </row>
    <row r="11" ht="28" customHeight="1">
      <c r="B11" s="59">
        <f>SUM(H18:H32)+SUM(H36:H50)</f>
        <v/>
      </c>
      <c r="E11" s="59">
        <f>IFERROR((SUM(H18:H32)+SUM(H36:H50))-(SUM(G18:G32)+SUM(G36:G50)),0)</f>
        <v/>
      </c>
      <c r="H11" s="61">
        <f>IFERROR(E11/J8*100,0)</f>
        <v/>
      </c>
      <c r="J11" s="62">
        <f>IFERROR(E11/B11,0)</f>
        <v/>
      </c>
    </row>
    <row r="13">
      <c r="B13" s="58" t="inlineStr">
        <is>
          <t>Airline Points</t>
        </is>
      </c>
      <c r="E13" s="58" t="inlineStr">
        <is>
          <t>Airline CPP</t>
        </is>
      </c>
      <c r="H13" s="58" t="inlineStr">
        <is>
          <t>Hotel Points</t>
        </is>
      </c>
      <c r="J13" s="58" t="inlineStr">
        <is>
          <t>Hotel CPP</t>
        </is>
      </c>
    </row>
    <row r="14" ht="28" customHeight="1">
      <c r="B14" s="60">
        <f>SUM(F18:F32)</f>
        <v/>
      </c>
      <c r="E14" s="61">
        <f>IFERROR((SUM(H18:H32)-SUM(G18:G32))/SUM(F18:F32)*100,0)</f>
        <v/>
      </c>
      <c r="H14" s="60">
        <f>SUM(F36:F50)</f>
        <v/>
      </c>
      <c r="J14" s="61">
        <f>IFERROR((SUM(H36:H50)-SUM(G36:G50))/SUM(F36:F50)*100,0)</f>
        <v/>
      </c>
    </row>
    <row r="16" ht="26" customHeight="1">
      <c r="B16" s="57" t="inlineStr">
        <is>
          <t xml:space="preserve">  FLIGHTS</t>
        </is>
      </c>
    </row>
    <row r="17" ht="32" customHeight="1">
      <c r="B17" s="63" t="inlineStr">
        <is>
          <t>Date</t>
        </is>
      </c>
      <c r="C17" s="63" t="inlineStr">
        <is>
          <t>Airline</t>
        </is>
      </c>
      <c r="D17" s="63" t="inlineStr">
        <is>
          <t>Route</t>
        </is>
      </c>
      <c r="E17" s="63" t="inlineStr">
        <is>
          <t>Class</t>
        </is>
      </c>
      <c r="F17" s="63" t="inlineStr">
        <is>
          <t>Points</t>
        </is>
      </c>
      <c r="G17" s="63" t="inlineStr">
        <is>
          <t>Tax + Fee ($)</t>
        </is>
      </c>
      <c r="H17" s="63" t="inlineStr">
        <is>
          <t>Sticker ($)</t>
        </is>
      </c>
      <c r="I17" s="63" t="inlineStr">
        <is>
          <t>CPP (¢)</t>
        </is>
      </c>
      <c r="J17" s="63" t="inlineStr">
        <is>
          <t>Savings ($)</t>
        </is>
      </c>
      <c r="K17" s="63" t="inlineStr">
        <is>
          <t>% Off</t>
        </is>
      </c>
      <c r="L17" s="63" t="inlineStr">
        <is>
          <t>Notes</t>
        </is>
      </c>
    </row>
    <row r="18">
      <c r="B18" s="82" t="n"/>
      <c r="C18" s="83" t="n"/>
      <c r="D18" s="83" t="n"/>
      <c r="E18" s="83" t="n"/>
      <c r="F18" s="66" t="n"/>
      <c r="G18" s="67" t="n"/>
      <c r="H18" s="67" t="n"/>
      <c r="I18" s="68">
        <f>IF(OR(F18="",F18=0,H18="",H18=0),"",(H18-G18)/F18*100)</f>
        <v/>
      </c>
      <c r="J18" s="67">
        <f>IF(OR(H18="",H18=0),"",MAX(H18-G18,0))</f>
        <v/>
      </c>
      <c r="K18" s="84">
        <f>IF(OR(H18="",H18=0),"",MAX((H18-G18)/H18,0))</f>
        <v/>
      </c>
      <c r="L18" s="83" t="n"/>
    </row>
    <row r="19">
      <c r="B19" s="85" t="n"/>
      <c r="C19" s="86" t="n"/>
      <c r="D19" s="86" t="n"/>
      <c r="E19" s="86" t="n"/>
      <c r="F19" s="71" t="n"/>
      <c r="G19" s="72" t="n"/>
      <c r="H19" s="72" t="n"/>
      <c r="I19" s="73">
        <f>IF(OR(F19="",F19=0,H19="",H19=0),"",(H19-G19)/F19*100)</f>
        <v/>
      </c>
      <c r="J19" s="72">
        <f>IF(OR(H19="",H19=0),"",MAX(H19-G19,0))</f>
        <v/>
      </c>
      <c r="K19" s="87">
        <f>IF(OR(H19="",H19=0),"",MAX((H19-G19)/H19,0))</f>
        <v/>
      </c>
      <c r="L19" s="86" t="n"/>
    </row>
    <row r="20">
      <c r="B20" s="82" t="n"/>
      <c r="C20" s="83" t="n"/>
      <c r="D20" s="83" t="n"/>
      <c r="E20" s="83" t="n"/>
      <c r="F20" s="66" t="n"/>
      <c r="G20" s="67" t="n"/>
      <c r="H20" s="67" t="n"/>
      <c r="I20" s="68">
        <f>IF(OR(F20="",F20=0,H20="",H20=0),"",(H20-G20)/F20*100)</f>
        <v/>
      </c>
      <c r="J20" s="67">
        <f>IF(OR(H20="",H20=0),"",MAX(H20-G20,0))</f>
        <v/>
      </c>
      <c r="K20" s="84">
        <f>IF(OR(H20="",H20=0),"",MAX((H20-G20)/H20,0))</f>
        <v/>
      </c>
      <c r="L20" s="83" t="n"/>
    </row>
    <row r="21">
      <c r="B21" s="85" t="n"/>
      <c r="C21" s="86" t="n"/>
      <c r="D21" s="86" t="n"/>
      <c r="E21" s="86" t="n"/>
      <c r="F21" s="71" t="n"/>
      <c r="G21" s="72" t="n"/>
      <c r="H21" s="72" t="n"/>
      <c r="I21" s="73">
        <f>IF(OR(F21="",F21=0,H21="",H21=0),"",(H21-G21)/F21*100)</f>
        <v/>
      </c>
      <c r="J21" s="72">
        <f>IF(OR(H21="",H21=0),"",MAX(H21-G21,0))</f>
        <v/>
      </c>
      <c r="K21" s="87">
        <f>IF(OR(H21="",H21=0),"",MAX((H21-G21)/H21,0))</f>
        <v/>
      </c>
      <c r="L21" s="86" t="n"/>
    </row>
    <row r="22">
      <c r="B22" s="82" t="n"/>
      <c r="C22" s="83" t="n"/>
      <c r="D22" s="83" t="n"/>
      <c r="E22" s="83" t="n"/>
      <c r="F22" s="66" t="n"/>
      <c r="G22" s="67" t="n"/>
      <c r="H22" s="67" t="n"/>
      <c r="I22" s="68">
        <f>IF(OR(F22="",F22=0,H22="",H22=0),"",(H22-G22)/F22*100)</f>
        <v/>
      </c>
      <c r="J22" s="67">
        <f>IF(OR(H22="",H22=0),"",MAX(H22-G22,0))</f>
        <v/>
      </c>
      <c r="K22" s="84">
        <f>IF(OR(H22="",H22=0),"",MAX((H22-G22)/H22,0))</f>
        <v/>
      </c>
      <c r="L22" s="83" t="n"/>
    </row>
    <row r="23">
      <c r="B23" s="85" t="n"/>
      <c r="C23" s="86" t="n"/>
      <c r="D23" s="86" t="n"/>
      <c r="E23" s="86" t="n"/>
      <c r="F23" s="71" t="n"/>
      <c r="G23" s="72" t="n"/>
      <c r="H23" s="72" t="n"/>
      <c r="I23" s="73">
        <f>IF(OR(F23="",F23=0,H23="",H23=0),"",(H23-G23)/F23*100)</f>
        <v/>
      </c>
      <c r="J23" s="72">
        <f>IF(OR(H23="",H23=0),"",MAX(H23-G23,0))</f>
        <v/>
      </c>
      <c r="K23" s="87">
        <f>IF(OR(H23="",H23=0),"",MAX((H23-G23)/H23,0))</f>
        <v/>
      </c>
      <c r="L23" s="86" t="n"/>
    </row>
    <row r="24">
      <c r="B24" s="82" t="n"/>
      <c r="C24" s="83" t="n"/>
      <c r="D24" s="83" t="n"/>
      <c r="E24" s="83" t="n"/>
      <c r="F24" s="66" t="n"/>
      <c r="G24" s="67" t="n"/>
      <c r="H24" s="67" t="n"/>
      <c r="I24" s="68">
        <f>IF(OR(F24="",F24=0,H24="",H24=0),"",(H24-G24)/F24*100)</f>
        <v/>
      </c>
      <c r="J24" s="67">
        <f>IF(OR(H24="",H24=0),"",MAX(H24-G24,0))</f>
        <v/>
      </c>
      <c r="K24" s="84">
        <f>IF(OR(H24="",H24=0),"",MAX((H24-G24)/H24,0))</f>
        <v/>
      </c>
      <c r="L24" s="83" t="n"/>
    </row>
    <row r="25">
      <c r="B25" s="85" t="n"/>
      <c r="C25" s="86" t="n"/>
      <c r="D25" s="86" t="n"/>
      <c r="E25" s="86" t="n"/>
      <c r="F25" s="71" t="n"/>
      <c r="G25" s="72" t="n"/>
      <c r="H25" s="72" t="n"/>
      <c r="I25" s="73">
        <f>IF(OR(F25="",F25=0,H25="",H25=0),"",(H25-G25)/F25*100)</f>
        <v/>
      </c>
      <c r="J25" s="72">
        <f>IF(OR(H25="",H25=0),"",MAX(H25-G25,0))</f>
        <v/>
      </c>
      <c r="K25" s="87">
        <f>IF(OR(H25="",H25=0),"",MAX((H25-G25)/H25,0))</f>
        <v/>
      </c>
      <c r="L25" s="86" t="n"/>
    </row>
    <row r="26">
      <c r="B26" s="82" t="n"/>
      <c r="C26" s="83" t="n"/>
      <c r="D26" s="83" t="n"/>
      <c r="E26" s="83" t="n"/>
      <c r="F26" s="66" t="n"/>
      <c r="G26" s="67" t="n"/>
      <c r="H26" s="67" t="n"/>
      <c r="I26" s="68">
        <f>IF(OR(F26="",F26=0,H26="",H26=0),"",(H26-G26)/F26*100)</f>
        <v/>
      </c>
      <c r="J26" s="67">
        <f>IF(OR(H26="",H26=0),"",MAX(H26-G26,0))</f>
        <v/>
      </c>
      <c r="K26" s="84">
        <f>IF(OR(H26="",H26=0),"",MAX((H26-G26)/H26,0))</f>
        <v/>
      </c>
      <c r="L26" s="83" t="n"/>
    </row>
    <row r="27">
      <c r="B27" s="85" t="n"/>
      <c r="C27" s="86" t="n"/>
      <c r="D27" s="86" t="n"/>
      <c r="E27" s="86" t="n"/>
      <c r="F27" s="71" t="n"/>
      <c r="G27" s="72" t="n"/>
      <c r="H27" s="72" t="n"/>
      <c r="I27" s="73">
        <f>IF(OR(F27="",F27=0,H27="",H27=0),"",(H27-G27)/F27*100)</f>
        <v/>
      </c>
      <c r="J27" s="72">
        <f>IF(OR(H27="",H27=0),"",MAX(H27-G27,0))</f>
        <v/>
      </c>
      <c r="K27" s="87">
        <f>IF(OR(H27="",H27=0),"",MAX((H27-G27)/H27,0))</f>
        <v/>
      </c>
      <c r="L27" s="86" t="n"/>
    </row>
    <row r="28">
      <c r="B28" s="82" t="n"/>
      <c r="C28" s="83" t="n"/>
      <c r="D28" s="83" t="n"/>
      <c r="E28" s="83" t="n"/>
      <c r="F28" s="66" t="n"/>
      <c r="G28" s="67" t="n"/>
      <c r="H28" s="67" t="n"/>
      <c r="I28" s="68">
        <f>IF(OR(F28="",F28=0,H28="",H28=0),"",(H28-G28)/F28*100)</f>
        <v/>
      </c>
      <c r="J28" s="67">
        <f>IF(OR(H28="",H28=0),"",MAX(H28-G28,0))</f>
        <v/>
      </c>
      <c r="K28" s="84">
        <f>IF(OR(H28="",H28=0),"",MAX((H28-G28)/H28,0))</f>
        <v/>
      </c>
      <c r="L28" s="83" t="n"/>
    </row>
    <row r="29">
      <c r="B29" s="85" t="n"/>
      <c r="C29" s="86" t="n"/>
      <c r="D29" s="86" t="n"/>
      <c r="E29" s="86" t="n"/>
      <c r="F29" s="71" t="n"/>
      <c r="G29" s="72" t="n"/>
      <c r="H29" s="72" t="n"/>
      <c r="I29" s="73">
        <f>IF(OR(F29="",F29=0,H29="",H29=0),"",(H29-G29)/F29*100)</f>
        <v/>
      </c>
      <c r="J29" s="72">
        <f>IF(OR(H29="",H29=0),"",MAX(H29-G29,0))</f>
        <v/>
      </c>
      <c r="K29" s="87">
        <f>IF(OR(H29="",H29=0),"",MAX((H29-G29)/H29,0))</f>
        <v/>
      </c>
      <c r="L29" s="86" t="n"/>
    </row>
    <row r="30">
      <c r="B30" s="82" t="n"/>
      <c r="C30" s="83" t="n"/>
      <c r="D30" s="83" t="n"/>
      <c r="E30" s="83" t="n"/>
      <c r="F30" s="66" t="n"/>
      <c r="G30" s="67" t="n"/>
      <c r="H30" s="67" t="n"/>
      <c r="I30" s="68">
        <f>IF(OR(F30="",F30=0,H30="",H30=0),"",(H30-G30)/F30*100)</f>
        <v/>
      </c>
      <c r="J30" s="67">
        <f>IF(OR(H30="",H30=0),"",MAX(H30-G30,0))</f>
        <v/>
      </c>
      <c r="K30" s="84">
        <f>IF(OR(H30="",H30=0),"",MAX((H30-G30)/H30,0))</f>
        <v/>
      </c>
      <c r="L30" s="83" t="n"/>
    </row>
    <row r="31">
      <c r="B31" s="85" t="n"/>
      <c r="C31" s="86" t="n"/>
      <c r="D31" s="86" t="n"/>
      <c r="E31" s="86" t="n"/>
      <c r="F31" s="71" t="n"/>
      <c r="G31" s="72" t="n"/>
      <c r="H31" s="72" t="n"/>
      <c r="I31" s="73">
        <f>IF(OR(F31="",F31=0,H31="",H31=0),"",(H31-G31)/F31*100)</f>
        <v/>
      </c>
      <c r="J31" s="72">
        <f>IF(OR(H31="",H31=0),"",MAX(H31-G31,0))</f>
        <v/>
      </c>
      <c r="K31" s="87">
        <f>IF(OR(H31="",H31=0),"",MAX((H31-G31)/H31,0))</f>
        <v/>
      </c>
      <c r="L31" s="86" t="n"/>
    </row>
    <row r="32">
      <c r="B32" s="82" t="n"/>
      <c r="C32" s="83" t="n"/>
      <c r="D32" s="83" t="n"/>
      <c r="E32" s="83" t="n"/>
      <c r="F32" s="66" t="n"/>
      <c r="G32" s="67" t="n"/>
      <c r="H32" s="67" t="n"/>
      <c r="I32" s="68">
        <f>IF(OR(F32="",F32=0,H32="",H32=0),"",(H32-G32)/F32*100)</f>
        <v/>
      </c>
      <c r="J32" s="67">
        <f>IF(OR(H32="",H32=0),"",MAX(H32-G32,0))</f>
        <v/>
      </c>
      <c r="K32" s="84">
        <f>IF(OR(H32="",H32=0),"",MAX((H32-G32)/H32,0))</f>
        <v/>
      </c>
      <c r="L32" s="83" t="n"/>
    </row>
    <row r="34" ht="26" customHeight="1">
      <c r="B34" s="57" t="inlineStr">
        <is>
          <t xml:space="preserve">  HOTELS</t>
        </is>
      </c>
    </row>
    <row r="35" ht="32" customHeight="1">
      <c r="B35" s="63" t="inlineStr">
        <is>
          <t>Check-in</t>
        </is>
      </c>
      <c r="C35" s="63" t="inlineStr">
        <is>
          <t>Hotel</t>
        </is>
      </c>
      <c r="D35" s="63" t="inlineStr">
        <is>
          <t>Location</t>
        </is>
      </c>
      <c r="E35" s="63" t="inlineStr">
        <is>
          <t>Nights</t>
        </is>
      </c>
      <c r="F35" s="63" t="inlineStr">
        <is>
          <t>Points</t>
        </is>
      </c>
      <c r="G35" s="63" t="inlineStr">
        <is>
          <t>Tax + Fee ($)</t>
        </is>
      </c>
      <c r="H35" s="63" t="inlineStr">
        <is>
          <t>Sticker ($)</t>
        </is>
      </c>
      <c r="I35" s="63" t="inlineStr">
        <is>
          <t>CPP (¢)</t>
        </is>
      </c>
      <c r="J35" s="63" t="inlineStr">
        <is>
          <t>Savings ($)</t>
        </is>
      </c>
      <c r="K35" s="63" t="inlineStr">
        <is>
          <t>% Off</t>
        </is>
      </c>
      <c r="L35" s="63" t="inlineStr">
        <is>
          <t>Notes</t>
        </is>
      </c>
    </row>
    <row r="36">
      <c r="B36" s="82" t="n"/>
      <c r="C36" s="83" t="n"/>
      <c r="D36" s="83" t="n"/>
      <c r="E36" s="88" t="n"/>
      <c r="F36" s="66" t="n"/>
      <c r="G36" s="67" t="n"/>
      <c r="H36" s="67" t="n"/>
      <c r="I36" s="68">
        <f>IF(OR(F36="",F36=0,H36="",H36=0),"",(H36-G36)/F36*100)</f>
        <v/>
      </c>
      <c r="J36" s="67">
        <f>IF(OR(H36="",H36=0),"",MAX(H36-G36,0))</f>
        <v/>
      </c>
      <c r="K36" s="84">
        <f>IF(OR(H36="",H36=0),"",MAX((H36-G36)/H36,0))</f>
        <v/>
      </c>
      <c r="L36" s="83" t="n"/>
    </row>
    <row r="37">
      <c r="B37" s="85" t="n"/>
      <c r="C37" s="86" t="n"/>
      <c r="D37" s="86" t="n"/>
      <c r="E37" s="89" t="n"/>
      <c r="F37" s="71" t="n"/>
      <c r="G37" s="72" t="n"/>
      <c r="H37" s="72" t="n"/>
      <c r="I37" s="73">
        <f>IF(OR(F37="",F37=0,H37="",H37=0),"",(H37-G37)/F37*100)</f>
        <v/>
      </c>
      <c r="J37" s="72">
        <f>IF(OR(H37="",H37=0),"",MAX(H37-G37,0))</f>
        <v/>
      </c>
      <c r="K37" s="87">
        <f>IF(OR(H37="",H37=0),"",MAX((H37-G37)/H37,0))</f>
        <v/>
      </c>
      <c r="L37" s="86" t="n"/>
    </row>
    <row r="38">
      <c r="B38" s="82" t="n"/>
      <c r="C38" s="83" t="n"/>
      <c r="D38" s="83" t="n"/>
      <c r="E38" s="88" t="n"/>
      <c r="F38" s="66" t="n"/>
      <c r="G38" s="67" t="n"/>
      <c r="H38" s="67" t="n"/>
      <c r="I38" s="68">
        <f>IF(OR(F38="",F38=0,H38="",H38=0),"",(H38-G38)/F38*100)</f>
        <v/>
      </c>
      <c r="J38" s="67">
        <f>IF(OR(H38="",H38=0),"",MAX(H38-G38,0))</f>
        <v/>
      </c>
      <c r="K38" s="84">
        <f>IF(OR(H38="",H38=0),"",MAX((H38-G38)/H38,0))</f>
        <v/>
      </c>
      <c r="L38" s="83" t="n"/>
    </row>
    <row r="39">
      <c r="B39" s="85" t="n"/>
      <c r="C39" s="86" t="n"/>
      <c r="D39" s="86" t="n"/>
      <c r="E39" s="89" t="n"/>
      <c r="F39" s="71" t="n"/>
      <c r="G39" s="72" t="n"/>
      <c r="H39" s="72" t="n"/>
      <c r="I39" s="73">
        <f>IF(OR(F39="",F39=0,H39="",H39=0),"",(H39-G39)/F39*100)</f>
        <v/>
      </c>
      <c r="J39" s="72">
        <f>IF(OR(H39="",H39=0),"",MAX(H39-G39,0))</f>
        <v/>
      </c>
      <c r="K39" s="87">
        <f>IF(OR(H39="",H39=0),"",MAX((H39-G39)/H39,0))</f>
        <v/>
      </c>
      <c r="L39" s="86" t="n"/>
    </row>
    <row r="40">
      <c r="B40" s="82" t="n"/>
      <c r="C40" s="83" t="n"/>
      <c r="D40" s="83" t="n"/>
      <c r="E40" s="88" t="n"/>
      <c r="F40" s="66" t="n"/>
      <c r="G40" s="67" t="n"/>
      <c r="H40" s="67" t="n"/>
      <c r="I40" s="68">
        <f>IF(OR(F40="",F40=0,H40="",H40=0),"",(H40-G40)/F40*100)</f>
        <v/>
      </c>
      <c r="J40" s="67">
        <f>IF(OR(H40="",H40=0),"",MAX(H40-G40,0))</f>
        <v/>
      </c>
      <c r="K40" s="84">
        <f>IF(OR(H40="",H40=0),"",MAX((H40-G40)/H40,0))</f>
        <v/>
      </c>
      <c r="L40" s="83" t="n"/>
    </row>
    <row r="41">
      <c r="B41" s="85" t="n"/>
      <c r="C41" s="86" t="n"/>
      <c r="D41" s="86" t="n"/>
      <c r="E41" s="89" t="n"/>
      <c r="F41" s="71" t="n"/>
      <c r="G41" s="72" t="n"/>
      <c r="H41" s="72" t="n"/>
      <c r="I41" s="73">
        <f>IF(OR(F41="",F41=0,H41="",H41=0),"",(H41-G41)/F41*100)</f>
        <v/>
      </c>
      <c r="J41" s="72">
        <f>IF(OR(H41="",H41=0),"",MAX(H41-G41,0))</f>
        <v/>
      </c>
      <c r="K41" s="87">
        <f>IF(OR(H41="",H41=0),"",MAX((H41-G41)/H41,0))</f>
        <v/>
      </c>
      <c r="L41" s="86" t="n"/>
    </row>
    <row r="42">
      <c r="B42" s="82" t="n"/>
      <c r="C42" s="83" t="n"/>
      <c r="D42" s="83" t="n"/>
      <c r="E42" s="88" t="n"/>
      <c r="F42" s="66" t="n"/>
      <c r="G42" s="67" t="n"/>
      <c r="H42" s="67" t="n"/>
      <c r="I42" s="68">
        <f>IF(OR(F42="",F42=0,H42="",H42=0),"",(H42-G42)/F42*100)</f>
        <v/>
      </c>
      <c r="J42" s="67">
        <f>IF(OR(H42="",H42=0),"",MAX(H42-G42,0))</f>
        <v/>
      </c>
      <c r="K42" s="84">
        <f>IF(OR(H42="",H42=0),"",MAX((H42-G42)/H42,0))</f>
        <v/>
      </c>
      <c r="L42" s="83" t="n"/>
    </row>
    <row r="43">
      <c r="B43" s="85" t="n"/>
      <c r="C43" s="86" t="n"/>
      <c r="D43" s="86" t="n"/>
      <c r="E43" s="89" t="n"/>
      <c r="F43" s="71" t="n"/>
      <c r="G43" s="72" t="n"/>
      <c r="H43" s="72" t="n"/>
      <c r="I43" s="73">
        <f>IF(OR(F43="",F43=0,H43="",H43=0),"",(H43-G43)/F43*100)</f>
        <v/>
      </c>
      <c r="J43" s="72">
        <f>IF(OR(H43="",H43=0),"",MAX(H43-G43,0))</f>
        <v/>
      </c>
      <c r="K43" s="87">
        <f>IF(OR(H43="",H43=0),"",MAX((H43-G43)/H43,0))</f>
        <v/>
      </c>
      <c r="L43" s="86" t="n"/>
    </row>
    <row r="44">
      <c r="B44" s="82" t="n"/>
      <c r="C44" s="83" t="n"/>
      <c r="D44" s="83" t="n"/>
      <c r="E44" s="88" t="n"/>
      <c r="F44" s="66" t="n"/>
      <c r="G44" s="67" t="n"/>
      <c r="H44" s="67" t="n"/>
      <c r="I44" s="68">
        <f>IF(OR(F44="",F44=0,H44="",H44=0),"",(H44-G44)/F44*100)</f>
        <v/>
      </c>
      <c r="J44" s="67">
        <f>IF(OR(H44="",H44=0),"",MAX(H44-G44,0))</f>
        <v/>
      </c>
      <c r="K44" s="84">
        <f>IF(OR(H44="",H44=0),"",MAX((H44-G44)/H44,0))</f>
        <v/>
      </c>
      <c r="L44" s="83" t="n"/>
    </row>
    <row r="45">
      <c r="B45" s="85" t="n"/>
      <c r="C45" s="86" t="n"/>
      <c r="D45" s="86" t="n"/>
      <c r="E45" s="89" t="n"/>
      <c r="F45" s="71" t="n"/>
      <c r="G45" s="72" t="n"/>
      <c r="H45" s="72" t="n"/>
      <c r="I45" s="73">
        <f>IF(OR(F45="",F45=0,H45="",H45=0),"",(H45-G45)/F45*100)</f>
        <v/>
      </c>
      <c r="J45" s="72">
        <f>IF(OR(H45="",H45=0),"",MAX(H45-G45,0))</f>
        <v/>
      </c>
      <c r="K45" s="87">
        <f>IF(OR(H45="",H45=0),"",MAX((H45-G45)/H45,0))</f>
        <v/>
      </c>
      <c r="L45" s="86" t="n"/>
    </row>
    <row r="46">
      <c r="B46" s="82" t="n"/>
      <c r="C46" s="83" t="n"/>
      <c r="D46" s="83" t="n"/>
      <c r="E46" s="88" t="n"/>
      <c r="F46" s="66" t="n"/>
      <c r="G46" s="67" t="n"/>
      <c r="H46" s="67" t="n"/>
      <c r="I46" s="68">
        <f>IF(OR(F46="",F46=0,H46="",H46=0),"",(H46-G46)/F46*100)</f>
        <v/>
      </c>
      <c r="J46" s="67">
        <f>IF(OR(H46="",H46=0),"",MAX(H46-G46,0))</f>
        <v/>
      </c>
      <c r="K46" s="84">
        <f>IF(OR(H46="",H46=0),"",MAX((H46-G46)/H46,0))</f>
        <v/>
      </c>
      <c r="L46" s="83" t="n"/>
    </row>
    <row r="47">
      <c r="B47" s="85" t="n"/>
      <c r="C47" s="86" t="n"/>
      <c r="D47" s="86" t="n"/>
      <c r="E47" s="89" t="n"/>
      <c r="F47" s="71" t="n"/>
      <c r="G47" s="72" t="n"/>
      <c r="H47" s="72" t="n"/>
      <c r="I47" s="73">
        <f>IF(OR(F47="",F47=0,H47="",H47=0),"",(H47-G47)/F47*100)</f>
        <v/>
      </c>
      <c r="J47" s="72">
        <f>IF(OR(H47="",H47=0),"",MAX(H47-G47,0))</f>
        <v/>
      </c>
      <c r="K47" s="87">
        <f>IF(OR(H47="",H47=0),"",MAX((H47-G47)/H47,0))</f>
        <v/>
      </c>
      <c r="L47" s="86" t="n"/>
    </row>
    <row r="48">
      <c r="B48" s="82" t="n"/>
      <c r="C48" s="83" t="n"/>
      <c r="D48" s="83" t="n"/>
      <c r="E48" s="88" t="n"/>
      <c r="F48" s="66" t="n"/>
      <c r="G48" s="67" t="n"/>
      <c r="H48" s="67" t="n"/>
      <c r="I48" s="68">
        <f>IF(OR(F48="",F48=0,H48="",H48=0),"",(H48-G48)/F48*100)</f>
        <v/>
      </c>
      <c r="J48" s="67">
        <f>IF(OR(H48="",H48=0),"",MAX(H48-G48,0))</f>
        <v/>
      </c>
      <c r="K48" s="84">
        <f>IF(OR(H48="",H48=0),"",MAX((H48-G48)/H48,0))</f>
        <v/>
      </c>
      <c r="L48" s="83" t="n"/>
    </row>
    <row r="49">
      <c r="B49" s="85" t="n"/>
      <c r="C49" s="86" t="n"/>
      <c r="D49" s="86" t="n"/>
      <c r="E49" s="89" t="n"/>
      <c r="F49" s="71" t="n"/>
      <c r="G49" s="72" t="n"/>
      <c r="H49" s="72" t="n"/>
      <c r="I49" s="73">
        <f>IF(OR(F49="",F49=0,H49="",H49=0),"",(H49-G49)/F49*100)</f>
        <v/>
      </c>
      <c r="J49" s="72">
        <f>IF(OR(H49="",H49=0),"",MAX(H49-G49,0))</f>
        <v/>
      </c>
      <c r="K49" s="87">
        <f>IF(OR(H49="",H49=0),"",MAX((H49-G49)/H49,0))</f>
        <v/>
      </c>
      <c r="L49" s="86" t="n"/>
    </row>
    <row r="50">
      <c r="B50" s="82" t="n"/>
      <c r="C50" s="83" t="n"/>
      <c r="D50" s="83" t="n"/>
      <c r="E50" s="88" t="n"/>
      <c r="F50" s="66" t="n"/>
      <c r="G50" s="67" t="n"/>
      <c r="H50" s="67" t="n"/>
      <c r="I50" s="68">
        <f>IF(OR(F50="",F50=0,H50="",H50=0),"",(H50-G50)/F50*100)</f>
        <v/>
      </c>
      <c r="J50" s="67">
        <f>IF(OR(H50="",H50=0),"",MAX(H50-G50,0))</f>
        <v/>
      </c>
      <c r="K50" s="84">
        <f>IF(OR(H50="",H50=0),"",MAX((H50-G50)/H50,0))</f>
        <v/>
      </c>
      <c r="L50" s="83" t="n"/>
    </row>
    <row r="52" ht="26" customHeight="1">
      <c r="B52" s="57" t="inlineStr">
        <is>
          <t xml:space="preserve">  ACTIVITIES &amp; EXPERIENCES</t>
        </is>
      </c>
    </row>
    <row r="53" ht="32" customHeight="1">
      <c r="B53" s="63" t="inlineStr">
        <is>
          <t>Date</t>
        </is>
      </c>
      <c r="C53" s="63" t="inlineStr">
        <is>
          <t>Activity</t>
        </is>
      </c>
      <c r="D53" s="63" t="inlineStr">
        <is>
          <t>Vendor</t>
        </is>
      </c>
      <c r="E53" s="63" t="inlineStr">
        <is>
          <t>Travelers</t>
        </is>
      </c>
      <c r="F53" s="63" t="inlineStr"/>
      <c r="G53" s="63" t="inlineStr"/>
      <c r="H53" s="63" t="inlineStr"/>
      <c r="I53" s="63" t="inlineStr">
        <is>
          <t>Cash ($)</t>
        </is>
      </c>
      <c r="J53" s="63" t="inlineStr">
        <is>
          <t>Currency</t>
        </is>
      </c>
      <c r="K53" s="63" t="inlineStr">
        <is>
          <t>Category</t>
        </is>
      </c>
      <c r="L53" s="63" t="inlineStr">
        <is>
          <t>Notes</t>
        </is>
      </c>
    </row>
    <row r="54">
      <c r="B54" s="82" t="n">
        <v>46426</v>
      </c>
      <c r="C54" s="83" t="inlineStr">
        <is>
          <t>TeamLab Planets</t>
        </is>
      </c>
      <c r="D54" s="83" t="inlineStr">
        <is>
          <t>Direct</t>
        </is>
      </c>
      <c r="E54" s="88" t="n">
        <v>4</v>
      </c>
      <c r="F54" s="90" t="n"/>
      <c r="G54" s="90" t="n"/>
      <c r="H54" s="90" t="n">
        <v>180</v>
      </c>
      <c r="I54" s="67" t="inlineStr">
        <is>
          <t>USD</t>
        </is>
      </c>
      <c r="J54" s="90" t="inlineStr">
        <is>
          <t>Attractions</t>
        </is>
      </c>
      <c r="K54" s="90" t="n"/>
      <c r="L54" s="83" t="inlineStr">
        <is>
          <t>Buy advance tickets</t>
        </is>
      </c>
    </row>
    <row r="55">
      <c r="B55" s="85" t="n">
        <v>46428</v>
      </c>
      <c r="C55" s="86" t="inlineStr">
        <is>
          <t>Matcha Ceremony Maikoya</t>
        </is>
      </c>
      <c r="D55" s="86" t="inlineStr">
        <is>
          <t>GetMyGuide</t>
        </is>
      </c>
      <c r="E55" s="89" t="n">
        <v>4</v>
      </c>
      <c r="F55" s="91" t="n"/>
      <c r="G55" s="91" t="n"/>
      <c r="H55" s="91" t="n">
        <v>240</v>
      </c>
      <c r="I55" s="72" t="inlineStr">
        <is>
          <t>USD</t>
        </is>
      </c>
      <c r="J55" s="91" t="inlineStr">
        <is>
          <t>Experiences</t>
        </is>
      </c>
      <c r="K55" s="91" t="n"/>
      <c r="L55" s="86" t="inlineStr">
        <is>
          <t>Asakusa or Shinjuku</t>
        </is>
      </c>
    </row>
    <row r="56">
      <c r="B56" s="82" t="n">
        <v>46434</v>
      </c>
      <c r="C56" s="83" t="inlineStr">
        <is>
          <t>Tokyo DisneySea</t>
        </is>
      </c>
      <c r="D56" s="83" t="inlineStr">
        <is>
          <t>Direct</t>
        </is>
      </c>
      <c r="E56" s="88" t="n">
        <v>4</v>
      </c>
      <c r="F56" s="90" t="n"/>
      <c r="G56" s="90" t="n"/>
      <c r="H56" s="90" t="n">
        <v>360</v>
      </c>
      <c r="I56" s="67" t="inlineStr">
        <is>
          <t>USD</t>
        </is>
      </c>
      <c r="J56" s="90" t="inlineStr">
        <is>
          <t>Attractions</t>
        </is>
      </c>
      <c r="K56" s="90" t="n"/>
      <c r="L56" s="83" t="inlineStr">
        <is>
          <t>Full day</t>
        </is>
      </c>
    </row>
    <row r="57">
      <c r="B57" s="85" t="n">
        <v>46435</v>
      </c>
      <c r="C57" s="86" t="inlineStr">
        <is>
          <t>Shinkansen Tokyo-Kanazawa</t>
        </is>
      </c>
      <c r="D57" s="86" t="inlineStr">
        <is>
          <t>JR</t>
        </is>
      </c>
      <c r="E57" s="89" t="n">
        <v>4</v>
      </c>
      <c r="F57" s="91" t="n"/>
      <c r="G57" s="91" t="n"/>
      <c r="H57" s="91" t="n">
        <v>540</v>
      </c>
      <c r="I57" s="72" t="inlineStr">
        <is>
          <t>USD</t>
        </is>
      </c>
      <c r="J57" s="91" t="inlineStr">
        <is>
          <t>Transport</t>
        </is>
      </c>
      <c r="K57" s="91" t="n"/>
      <c r="L57" s="86" t="inlineStr">
        <is>
          <t>2.5-3h</t>
        </is>
      </c>
    </row>
    <row r="58">
      <c r="B58" s="82" t="n"/>
      <c r="C58" s="83" t="n"/>
      <c r="D58" s="83" t="n"/>
      <c r="E58" s="88" t="n"/>
      <c r="F58" s="90" t="n"/>
      <c r="G58" s="90" t="n"/>
      <c r="H58" s="90" t="n"/>
      <c r="I58" s="67" t="n"/>
      <c r="J58" s="90" t="n"/>
      <c r="K58" s="90" t="n"/>
      <c r="L58" s="83" t="n"/>
    </row>
    <row r="59">
      <c r="B59" s="85" t="n"/>
      <c r="C59" s="86" t="n"/>
      <c r="D59" s="86" t="n"/>
      <c r="E59" s="89" t="n"/>
      <c r="F59" s="91" t="n"/>
      <c r="G59" s="91" t="n"/>
      <c r="H59" s="91" t="n"/>
      <c r="I59" s="72" t="n"/>
      <c r="J59" s="91" t="n"/>
      <c r="K59" s="91" t="n"/>
      <c r="L59" s="86" t="n"/>
    </row>
    <row r="60">
      <c r="B60" s="82" t="n"/>
      <c r="C60" s="83" t="n"/>
      <c r="D60" s="83" t="n"/>
      <c r="E60" s="88" t="n"/>
      <c r="F60" s="90" t="n"/>
      <c r="G60" s="90" t="n"/>
      <c r="H60" s="90" t="n"/>
      <c r="I60" s="67" t="n"/>
      <c r="J60" s="90" t="n"/>
      <c r="K60" s="90" t="n"/>
      <c r="L60" s="83" t="n"/>
    </row>
    <row r="61">
      <c r="B61" s="85" t="n"/>
      <c r="C61" s="86" t="n"/>
      <c r="D61" s="86" t="n"/>
      <c r="E61" s="89" t="n"/>
      <c r="F61" s="91" t="n"/>
      <c r="G61" s="91" t="n"/>
      <c r="H61" s="91" t="n"/>
      <c r="I61" s="72" t="n"/>
      <c r="J61" s="91" t="n"/>
      <c r="K61" s="91" t="n"/>
      <c r="L61" s="86" t="n"/>
    </row>
    <row r="62">
      <c r="B62" s="82" t="n"/>
      <c r="C62" s="83" t="n"/>
      <c r="D62" s="83" t="n"/>
      <c r="E62" s="88" t="n"/>
      <c r="F62" s="90" t="n"/>
      <c r="G62" s="90" t="n"/>
      <c r="H62" s="90" t="n"/>
      <c r="I62" s="67" t="n"/>
      <c r="J62" s="90" t="n"/>
      <c r="K62" s="90" t="n"/>
      <c r="L62" s="83" t="n"/>
    </row>
    <row r="63">
      <c r="B63" s="85" t="n"/>
      <c r="C63" s="86" t="n"/>
      <c r="D63" s="86" t="n"/>
      <c r="E63" s="89" t="n"/>
      <c r="F63" s="91" t="n"/>
      <c r="G63" s="91" t="n"/>
      <c r="H63" s="91" t="n"/>
      <c r="I63" s="72" t="n"/>
      <c r="J63" s="91" t="n"/>
      <c r="K63" s="91" t="n"/>
      <c r="L63" s="86" t="n"/>
    </row>
    <row r="64">
      <c r="B64" s="82" t="n"/>
      <c r="C64" s="83" t="n"/>
      <c r="D64" s="83" t="n"/>
      <c r="E64" s="88" t="n"/>
      <c r="F64" s="90" t="n"/>
      <c r="G64" s="90" t="n"/>
      <c r="H64" s="90" t="n"/>
      <c r="I64" s="67" t="n"/>
      <c r="J64" s="90" t="n"/>
      <c r="K64" s="90" t="n"/>
      <c r="L64" s="83" t="n"/>
    </row>
    <row r="65">
      <c r="B65" s="85" t="n"/>
      <c r="C65" s="86" t="n"/>
      <c r="D65" s="86" t="n"/>
      <c r="E65" s="89" t="n"/>
      <c r="F65" s="91" t="n"/>
      <c r="G65" s="91" t="n"/>
      <c r="H65" s="91" t="n"/>
      <c r="I65" s="72" t="n"/>
      <c r="J65" s="91" t="n"/>
      <c r="K65" s="91" t="n"/>
      <c r="L65" s="86" t="n"/>
    </row>
    <row r="66">
      <c r="B66" s="82" t="n"/>
      <c r="C66" s="83" t="n"/>
      <c r="D66" s="83" t="n"/>
      <c r="E66" s="88" t="n"/>
      <c r="F66" s="90" t="n"/>
      <c r="G66" s="90" t="n"/>
      <c r="H66" s="90" t="n"/>
      <c r="I66" s="67" t="n"/>
      <c r="J66" s="90" t="n"/>
      <c r="K66" s="90" t="n"/>
      <c r="L66" s="83" t="n"/>
    </row>
    <row r="67">
      <c r="B67" s="85" t="n"/>
      <c r="C67" s="86" t="n"/>
      <c r="D67" s="86" t="n"/>
      <c r="E67" s="89" t="n"/>
      <c r="F67" s="91" t="n"/>
      <c r="G67" s="91" t="n"/>
      <c r="H67" s="91" t="n"/>
      <c r="I67" s="72" t="n"/>
      <c r="J67" s="91" t="n"/>
      <c r="K67" s="91" t="n"/>
      <c r="L67" s="86" t="n"/>
    </row>
    <row r="68">
      <c r="B68" s="82" t="n"/>
      <c r="C68" s="83" t="n"/>
      <c r="D68" s="83" t="n"/>
      <c r="E68" s="88" t="n"/>
      <c r="F68" s="90" t="n"/>
      <c r="G68" s="90" t="n"/>
      <c r="H68" s="90" t="n"/>
      <c r="I68" s="67" t="n"/>
      <c r="J68" s="90" t="n"/>
      <c r="K68" s="90" t="n"/>
      <c r="L68" s="83" t="n"/>
    </row>
  </sheetData>
  <mergeCells count="31">
    <mergeCell ref="B7:C7"/>
    <mergeCell ref="B16:L16"/>
    <mergeCell ref="H10:I10"/>
    <mergeCell ref="J4:L4"/>
    <mergeCell ref="E14:F14"/>
    <mergeCell ref="E8:F8"/>
    <mergeCell ref="J11:L11"/>
    <mergeCell ref="J7:L7"/>
    <mergeCell ref="B52:L52"/>
    <mergeCell ref="B11:C11"/>
    <mergeCell ref="E10:F10"/>
    <mergeCell ref="B2:L2"/>
    <mergeCell ref="B14:C14"/>
    <mergeCell ref="E13:F13"/>
    <mergeCell ref="B8:C8"/>
    <mergeCell ref="B13:C13"/>
    <mergeCell ref="H11:I11"/>
    <mergeCell ref="H7:I7"/>
    <mergeCell ref="B10:C10"/>
    <mergeCell ref="E11:F11"/>
    <mergeCell ref="B34:L34"/>
    <mergeCell ref="F4:H4"/>
    <mergeCell ref="J8:L8"/>
    <mergeCell ref="H13:I13"/>
    <mergeCell ref="H14:I14"/>
    <mergeCell ref="J14:L14"/>
    <mergeCell ref="B6:L6"/>
    <mergeCell ref="J10:L10"/>
    <mergeCell ref="E7:F7"/>
    <mergeCell ref="J13:L13"/>
    <mergeCell ref="H8:I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31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53125" defaultRowHeight="15" customHeight="1"/>
  <cols>
    <col width="2" customWidth="1" min="1" max="1"/>
    <col width="26" customWidth="1" min="2" max="2"/>
    <col width="12" customWidth="1" min="3" max="3"/>
    <col width="14" customWidth="1" min="4" max="4"/>
    <col width="11" customWidth="1" min="5" max="5"/>
    <col width="13" customWidth="1" min="6" max="7"/>
    <col width="11" customWidth="1" min="8" max="8"/>
    <col width="13" customWidth="1" min="9" max="11"/>
    <col width="14" customWidth="1" min="12" max="12"/>
    <col width="30" customWidth="1" min="13" max="13"/>
  </cols>
  <sheetData>
    <row r="2" ht="25" customHeight="1">
      <c r="B2" s="1" t="inlineStr">
        <is>
          <t>Cards — Annual Fee &amp; Bonus Tracker</t>
        </is>
      </c>
    </row>
    <row r="3" ht="14.5" customHeight="1">
      <c r="B3" s="2" t="inlineStr">
        <is>
          <t>First Year Net = Bonus Value + Credits Used − Annual Fee.</t>
        </is>
      </c>
    </row>
    <row r="5" ht="26" customHeight="1">
      <c r="B5" s="18" t="inlineStr">
        <is>
          <t>Card</t>
        </is>
      </c>
      <c r="C5" s="18" t="inlineStr">
        <is>
          <t>Open Date</t>
        </is>
      </c>
      <c r="D5" s="18" t="inlineStr">
        <is>
          <t>Issuer</t>
        </is>
      </c>
      <c r="E5" s="18" t="inlineStr">
        <is>
          <t>AF ($)</t>
        </is>
      </c>
      <c r="F5" s="18" t="inlineStr">
        <is>
          <t>Bonus Pts</t>
        </is>
      </c>
      <c r="G5" s="18" t="inlineStr">
        <is>
          <t>Min Spend ($)</t>
        </is>
      </c>
      <c r="H5" s="18" t="inlineStr">
        <is>
          <t>Bonus Hit?</t>
        </is>
      </c>
      <c r="I5" s="18" t="inlineStr">
        <is>
          <t>Bonus Value ($)</t>
        </is>
      </c>
      <c r="J5" s="18" t="inlineStr">
        <is>
          <t>Credits Used ($)</t>
        </is>
      </c>
      <c r="K5" s="18" t="inlineStr">
        <is>
          <t>First Year Net ($)</t>
        </is>
      </c>
      <c r="L5" s="18" t="inlineStr">
        <is>
          <t>AF Renewal Date</t>
        </is>
      </c>
      <c r="M5" s="18" t="inlineStr">
        <is>
          <t>Notes</t>
        </is>
      </c>
    </row>
    <row r="6" ht="14.5" customHeight="1">
      <c r="B6" s="25" t="inlineStr">
        <is>
          <t>Amex Business Platinum #1</t>
        </is>
      </c>
      <c r="C6" s="92" t="n">
        <v>44941</v>
      </c>
      <c r="D6" s="20" t="inlineStr">
        <is>
          <t>Amex</t>
        </is>
      </c>
      <c r="E6" s="26" t="n">
        <v>695</v>
      </c>
      <c r="F6" s="22" t="n">
        <v>250000</v>
      </c>
      <c r="G6" s="26" t="n">
        <v>20000</v>
      </c>
      <c r="H6" s="21" t="inlineStr">
        <is>
          <t>Yes</t>
        </is>
      </c>
      <c r="I6" s="26" t="n">
        <v>5000</v>
      </c>
      <c r="J6" s="26" t="n">
        <v>1500</v>
      </c>
      <c r="K6" s="10">
        <f>I6+J6-E6</f>
        <v/>
      </c>
      <c r="L6" s="93">
        <f>IF(C6="","",EDATE(C6,12))</f>
        <v/>
      </c>
      <c r="M6" s="20" t="inlineStr">
        <is>
          <t>Biz Plat; Dell + wireless + flight credits</t>
        </is>
      </c>
    </row>
    <row r="7" ht="14.5" customHeight="1">
      <c r="B7" s="25" t="inlineStr">
        <is>
          <t>Amex Business Platinum #2</t>
        </is>
      </c>
      <c r="C7" s="92" t="n">
        <v>45170</v>
      </c>
      <c r="D7" s="20" t="inlineStr">
        <is>
          <t>Amex</t>
        </is>
      </c>
      <c r="E7" s="26" t="n">
        <v>695</v>
      </c>
      <c r="F7" s="22" t="n">
        <v>250000</v>
      </c>
      <c r="G7" s="26" t="n">
        <v>20000</v>
      </c>
      <c r="H7" s="21" t="inlineStr">
        <is>
          <t>Yes</t>
        </is>
      </c>
      <c r="I7" s="26" t="n">
        <v>5000</v>
      </c>
      <c r="J7" s="26" t="n">
        <v>1200</v>
      </c>
      <c r="K7" s="10">
        <f>I7+J7-E7</f>
        <v/>
      </c>
      <c r="L7" s="93">
        <f>IF(C7="","",EDATE(C7,12))</f>
        <v/>
      </c>
      <c r="M7" s="20" t="inlineStr">
        <is>
          <t>Biz Plat; second line</t>
        </is>
      </c>
    </row>
    <row r="8" ht="14.5" customHeight="1">
      <c r="B8" s="25" t="inlineStr">
        <is>
          <t>Amex Business Platinum #3</t>
        </is>
      </c>
      <c r="C8" s="92" t="n">
        <v>45383</v>
      </c>
      <c r="D8" s="20" t="inlineStr">
        <is>
          <t>Amex</t>
        </is>
      </c>
      <c r="E8" s="26" t="n">
        <v>695</v>
      </c>
      <c r="F8" s="22" t="n">
        <v>250000</v>
      </c>
      <c r="G8" s="26" t="n">
        <v>20000</v>
      </c>
      <c r="H8" s="21" t="inlineStr">
        <is>
          <t>Yes</t>
        </is>
      </c>
      <c r="I8" s="26" t="n">
        <v>5000</v>
      </c>
      <c r="J8" s="26" t="n">
        <v>800</v>
      </c>
      <c r="K8" s="10">
        <f>I8+J8-E8</f>
        <v/>
      </c>
      <c r="L8" s="93">
        <f>IF(C8="","",EDATE(C8,12))</f>
        <v/>
      </c>
      <c r="M8" s="20" t="inlineStr">
        <is>
          <t>Biz Plat; third line</t>
        </is>
      </c>
    </row>
    <row r="9" ht="14.5" customHeight="1">
      <c r="B9" s="25" t="inlineStr">
        <is>
          <t>Amex Business Gold #1</t>
        </is>
      </c>
      <c r="C9" s="92" t="n">
        <v>44986</v>
      </c>
      <c r="D9" s="20" t="inlineStr">
        <is>
          <t>Amex</t>
        </is>
      </c>
      <c r="E9" s="26" t="n">
        <v>375</v>
      </c>
      <c r="F9" s="22" t="n">
        <v>100000</v>
      </c>
      <c r="G9" s="26" t="n">
        <v>10000</v>
      </c>
      <c r="H9" s="21" t="inlineStr">
        <is>
          <t>Yes</t>
        </is>
      </c>
      <c r="I9" s="26" t="n">
        <v>2000</v>
      </c>
      <c r="J9" s="26" t="n">
        <v>240</v>
      </c>
      <c r="K9" s="10">
        <f>I9+J9-E9</f>
        <v/>
      </c>
      <c r="L9" s="93">
        <f>IF(C9="","",EDATE(C9,12))</f>
        <v/>
      </c>
      <c r="M9" s="20" t="inlineStr">
        <is>
          <t>Biz Gold; flexible 4x category</t>
        </is>
      </c>
    </row>
    <row r="10" ht="14.5" customHeight="1">
      <c r="B10" s="25" t="inlineStr">
        <is>
          <t>Amex Business Gold #2</t>
        </is>
      </c>
      <c r="C10" s="92" t="n">
        <v>45292</v>
      </c>
      <c r="D10" s="20" t="inlineStr">
        <is>
          <t>Amex</t>
        </is>
      </c>
      <c r="E10" s="26" t="n">
        <v>375</v>
      </c>
      <c r="F10" s="22" t="n">
        <v>100000</v>
      </c>
      <c r="G10" s="26" t="n">
        <v>10000</v>
      </c>
      <c r="H10" s="21" t="inlineStr">
        <is>
          <t>Yes</t>
        </is>
      </c>
      <c r="I10" s="26" t="n">
        <v>2000</v>
      </c>
      <c r="J10" s="26" t="n">
        <v>240</v>
      </c>
      <c r="K10" s="10">
        <f>I10+J10-E10</f>
        <v/>
      </c>
      <c r="L10" s="93">
        <f>IF(C10="","",EDATE(C10,12))</f>
        <v/>
      </c>
      <c r="M10" s="20" t="inlineStr">
        <is>
          <t>Biz Gold; second line</t>
        </is>
      </c>
    </row>
    <row r="11" ht="14.5" customHeight="1">
      <c r="B11" s="25" t="inlineStr">
        <is>
          <t>Blue Business Plus #1</t>
        </is>
      </c>
      <c r="C11" s="92" t="n">
        <v>44713</v>
      </c>
      <c r="D11" s="20" t="inlineStr">
        <is>
          <t>Amex</t>
        </is>
      </c>
      <c r="E11" s="26" t="n">
        <v>0</v>
      </c>
      <c r="F11" s="22" t="n">
        <v>15000</v>
      </c>
      <c r="G11" s="26" t="n">
        <v>3000</v>
      </c>
      <c r="H11" s="21" t="inlineStr">
        <is>
          <t>Yes</t>
        </is>
      </c>
      <c r="I11" s="26" t="n">
        <v>300</v>
      </c>
      <c r="J11" s="26" t="n">
        <v>0</v>
      </c>
      <c r="K11" s="10">
        <f>I11+J11-E11</f>
        <v/>
      </c>
      <c r="L11" s="93">
        <f>IF(C11="","",EDATE(C11,12))</f>
        <v/>
      </c>
      <c r="M11" s="20" t="inlineStr">
        <is>
          <t>BBP; 2x everywhere up to $50k/yr</t>
        </is>
      </c>
    </row>
    <row r="12" ht="14.5" customHeight="1">
      <c r="B12" s="25" t="inlineStr">
        <is>
          <t>Blue Business Plus #2</t>
        </is>
      </c>
      <c r="C12" s="92" t="n">
        <v>45505</v>
      </c>
      <c r="D12" s="20" t="inlineStr">
        <is>
          <t>Amex</t>
        </is>
      </c>
      <c r="E12" s="26" t="n">
        <v>0</v>
      </c>
      <c r="F12" s="22" t="n">
        <v>15000</v>
      </c>
      <c r="G12" s="26" t="n">
        <v>3000</v>
      </c>
      <c r="H12" s="21" t="inlineStr">
        <is>
          <t>Yes</t>
        </is>
      </c>
      <c r="I12" s="26" t="n">
        <v>300</v>
      </c>
      <c r="J12" s="26" t="n">
        <v>0</v>
      </c>
      <c r="K12" s="10">
        <f>I12+J12-E12</f>
        <v/>
      </c>
      <c r="L12" s="93">
        <f>IF(C12="","",EDATE(C12,12))</f>
        <v/>
      </c>
      <c r="M12" s="20" t="inlineStr">
        <is>
          <t>BBP; second line</t>
        </is>
      </c>
    </row>
    <row r="13" ht="14.5" customHeight="1">
      <c r="B13" s="25" t="inlineStr">
        <is>
          <t>Chase Sapphire Reserve</t>
        </is>
      </c>
      <c r="C13" s="92" t="n">
        <v>44927</v>
      </c>
      <c r="D13" s="20" t="inlineStr">
        <is>
          <t>Chase</t>
        </is>
      </c>
      <c r="E13" s="26" t="n">
        <v>595</v>
      </c>
      <c r="F13" s="22" t="n">
        <v>60000</v>
      </c>
      <c r="G13" s="26" t="n">
        <v>4000</v>
      </c>
      <c r="H13" s="21" t="inlineStr">
        <is>
          <t>Yes</t>
        </is>
      </c>
      <c r="I13" s="26" t="n">
        <v>1200</v>
      </c>
      <c r="J13" s="26" t="n">
        <v>300</v>
      </c>
      <c r="K13" s="10">
        <f>I13+J13-E13</f>
        <v/>
      </c>
      <c r="L13" s="93">
        <f>IF(C13="","",EDATE(C13,12))</f>
        <v/>
      </c>
      <c r="M13" s="20" t="inlineStr">
        <is>
          <t>$300 travel credit; CSR portal 1.5x</t>
        </is>
      </c>
    </row>
    <row r="14" ht="14.5" customHeight="1">
      <c r="B14" s="25" t="inlineStr">
        <is>
          <t>Chase Sapphire Preferred</t>
        </is>
      </c>
      <c r="C14" s="92" t="n">
        <v>44713</v>
      </c>
      <c r="D14" s="20" t="inlineStr">
        <is>
          <t>Chase</t>
        </is>
      </c>
      <c r="E14" s="26" t="n">
        <v>95</v>
      </c>
      <c r="F14" s="22" t="n">
        <v>60000</v>
      </c>
      <c r="G14" s="26" t="n">
        <v>4000</v>
      </c>
      <c r="H14" s="21" t="inlineStr">
        <is>
          <t>Yes</t>
        </is>
      </c>
      <c r="I14" s="26" t="n">
        <v>1200</v>
      </c>
      <c r="J14" s="26" t="n">
        <v>50</v>
      </c>
      <c r="K14" s="10">
        <f>I14+J14-E14</f>
        <v/>
      </c>
      <c r="L14" s="93">
        <f>IF(C14="","",EDATE(C14,12))</f>
        <v/>
      </c>
      <c r="M14" s="20" t="inlineStr">
        <is>
          <t>Long-held; downgrade candidate</t>
        </is>
      </c>
    </row>
    <row r="15" ht="14.5" customHeight="1">
      <c r="B15" s="25" t="inlineStr">
        <is>
          <t>Capital One Venture X</t>
        </is>
      </c>
      <c r="C15" s="92" t="n">
        <v>45658</v>
      </c>
      <c r="D15" s="20" t="inlineStr">
        <is>
          <t>Capital One</t>
        </is>
      </c>
      <c r="E15" s="26" t="n">
        <v>395</v>
      </c>
      <c r="F15" s="22" t="n">
        <v>75000</v>
      </c>
      <c r="G15" s="26" t="n">
        <v>4000</v>
      </c>
      <c r="H15" s="21" t="inlineStr">
        <is>
          <t>Yes</t>
        </is>
      </c>
      <c r="I15" s="26" t="n">
        <v>1500</v>
      </c>
      <c r="J15" s="26" t="n">
        <v>700</v>
      </c>
      <c r="K15" s="10">
        <f>I15+J15-E15</f>
        <v/>
      </c>
      <c r="L15" s="93">
        <f>IF(C15="","",EDATE(C15,12))</f>
        <v/>
      </c>
      <c r="M15" s="20" t="inlineStr">
        <is>
          <t>$300 portal + $100 Global Entry</t>
        </is>
      </c>
    </row>
    <row r="16" ht="14.5" customHeight="1">
      <c r="B16" s="25" t="inlineStr">
        <is>
          <t>Capital One Spark</t>
        </is>
      </c>
      <c r="C16" s="92" t="n">
        <v>45352</v>
      </c>
      <c r="D16" s="20" t="inlineStr">
        <is>
          <t>Capital One</t>
        </is>
      </c>
      <c r="E16" s="26" t="n">
        <v>150</v>
      </c>
      <c r="F16" s="22" t="n">
        <v>0</v>
      </c>
      <c r="G16" s="26" t="n">
        <v>0</v>
      </c>
      <c r="H16" s="21" t="inlineStr">
        <is>
          <t>—</t>
        </is>
      </c>
      <c r="I16" s="26" t="n">
        <v>0</v>
      </c>
      <c r="J16" s="26" t="n">
        <v>0</v>
      </c>
      <c r="K16" s="10">
        <f>I16+J16-E16</f>
        <v/>
      </c>
      <c r="L16" s="93">
        <f>IF(C16="","",EDATE(C16,12))</f>
        <v/>
      </c>
      <c r="M16" s="20" t="inlineStr">
        <is>
          <t>Business card</t>
        </is>
      </c>
    </row>
    <row r="17" ht="14.5" customHeight="1">
      <c r="B17" s="25" t="inlineStr">
        <is>
          <t>Bilt 2.0</t>
        </is>
      </c>
      <c r="C17" s="92" t="n">
        <v>46054</v>
      </c>
      <c r="D17" s="20" t="inlineStr">
        <is>
          <t>Wells Fargo</t>
        </is>
      </c>
      <c r="E17" s="26" t="n">
        <v>0</v>
      </c>
      <c r="F17" s="22" t="n">
        <v>50000</v>
      </c>
      <c r="G17" s="26" t="n">
        <v>4000</v>
      </c>
      <c r="H17" s="21" t="inlineStr">
        <is>
          <t>Yes</t>
        </is>
      </c>
      <c r="I17" s="26" t="n">
        <v>1000</v>
      </c>
      <c r="J17" s="26" t="n">
        <v>0</v>
      </c>
      <c r="K17" s="10">
        <f>I17+J17-E17</f>
        <v/>
      </c>
      <c r="L17" s="93">
        <f>IF(C17="","",EDATE(C17,12))</f>
        <v/>
      </c>
      <c r="M17" s="20" t="inlineStr">
        <is>
          <t>Mortgage points via UWM</t>
        </is>
      </c>
    </row>
    <row r="18" ht="14.5" customHeight="1">
      <c r="B18" s="20" t="n"/>
      <c r="C18" s="92" t="n"/>
      <c r="D18" s="20" t="n"/>
      <c r="E18" s="26" t="n"/>
      <c r="F18" s="22" t="n"/>
      <c r="G18" s="26" t="n"/>
      <c r="H18" s="21" t="n"/>
      <c r="I18" s="26" t="n"/>
      <c r="J18" s="26" t="n"/>
      <c r="K18" s="10">
        <f>IF(I18="","",I18+J18-E18)</f>
        <v/>
      </c>
      <c r="L18" s="93">
        <f>IF(C18="","",EDATE(C18,12))</f>
        <v/>
      </c>
      <c r="M18" s="20" t="n"/>
    </row>
    <row r="19" ht="14.5" customHeight="1">
      <c r="B19" s="20" t="n"/>
      <c r="C19" s="92" t="n"/>
      <c r="D19" s="20" t="n"/>
      <c r="E19" s="26" t="n"/>
      <c r="F19" s="22" t="n"/>
      <c r="G19" s="26" t="n"/>
      <c r="H19" s="21" t="n"/>
      <c r="I19" s="26" t="n"/>
      <c r="J19" s="26" t="n"/>
      <c r="K19" s="10">
        <f>IF(I19="","",I19+J19-E19)</f>
        <v/>
      </c>
      <c r="L19" s="93">
        <f>IF(C19="","",EDATE(C19,12))</f>
        <v/>
      </c>
      <c r="M19" s="20" t="n"/>
    </row>
    <row r="20" ht="14.5" customHeight="1">
      <c r="B20" s="20" t="n"/>
      <c r="C20" s="92" t="n"/>
      <c r="D20" s="20" t="n"/>
      <c r="E20" s="26" t="n"/>
      <c r="F20" s="22" t="n"/>
      <c r="G20" s="26" t="n"/>
      <c r="H20" s="21" t="n"/>
      <c r="I20" s="26" t="n"/>
      <c r="J20" s="26" t="n"/>
      <c r="K20" s="10">
        <f>IF(I20="","",I20+J20-E20)</f>
        <v/>
      </c>
      <c r="L20" s="93">
        <f>IF(C20="","",EDATE(C20,12))</f>
        <v/>
      </c>
      <c r="M20" s="20" t="n"/>
    </row>
    <row r="21" ht="15.75" customHeight="1">
      <c r="B21" s="20" t="n"/>
      <c r="C21" s="92" t="n"/>
      <c r="D21" s="20" t="n"/>
      <c r="E21" s="26" t="n"/>
      <c r="F21" s="22" t="n"/>
      <c r="G21" s="26" t="n"/>
      <c r="H21" s="21" t="n"/>
      <c r="I21" s="26" t="n"/>
      <c r="J21" s="26" t="n"/>
      <c r="K21" s="10">
        <f>IF(I21="","",I21+J21-E21)</f>
        <v/>
      </c>
      <c r="L21" s="93">
        <f>IF(C21="","",EDATE(C21,12))</f>
        <v/>
      </c>
      <c r="M21" s="20" t="n"/>
    </row>
    <row r="22" ht="15.75" customHeight="1">
      <c r="B22" s="20" t="n"/>
      <c r="C22" s="92" t="n"/>
      <c r="D22" s="20" t="n"/>
      <c r="E22" s="26" t="n"/>
      <c r="F22" s="22" t="n"/>
      <c r="G22" s="26" t="n"/>
      <c r="H22" s="21" t="n"/>
      <c r="I22" s="26" t="n"/>
      <c r="J22" s="26" t="n"/>
      <c r="K22" s="10">
        <f>IF(I22="","",I22+J22-E22)</f>
        <v/>
      </c>
      <c r="L22" s="93">
        <f>IF(C22="","",EDATE(C22,12))</f>
        <v/>
      </c>
      <c r="M22" s="20" t="n"/>
    </row>
    <row r="23" ht="15.75" customHeight="1">
      <c r="B23" s="20" t="n"/>
      <c r="C23" s="92" t="n"/>
      <c r="D23" s="20" t="n"/>
      <c r="E23" s="26" t="n"/>
      <c r="F23" s="22" t="n"/>
      <c r="G23" s="26" t="n"/>
      <c r="H23" s="21" t="n"/>
      <c r="I23" s="26" t="n"/>
      <c r="J23" s="26" t="n"/>
      <c r="K23" s="10">
        <f>IF(I23="","",I23+J23-E23)</f>
        <v/>
      </c>
      <c r="L23" s="93">
        <f>IF(C23="","",EDATE(C23,12))</f>
        <v/>
      </c>
      <c r="M23" s="20" t="n"/>
    </row>
    <row r="24" ht="15.75" customHeight="1">
      <c r="B24" s="20" t="n"/>
      <c r="C24" s="92" t="n"/>
      <c r="D24" s="20" t="n"/>
      <c r="E24" s="26" t="n"/>
      <c r="F24" s="22" t="n"/>
      <c r="G24" s="26" t="n"/>
      <c r="H24" s="21" t="n"/>
      <c r="I24" s="26" t="n"/>
      <c r="J24" s="26" t="n"/>
      <c r="K24" s="10">
        <f>IF(I24="","",I24+J24-E24)</f>
        <v/>
      </c>
      <c r="L24" s="93">
        <f>IF(C24="","",EDATE(C24,12))</f>
        <v/>
      </c>
      <c r="M24" s="20" t="n"/>
    </row>
    <row r="25" ht="15.75" customHeight="1">
      <c r="B25" s="20" t="n"/>
      <c r="C25" s="92" t="n"/>
      <c r="D25" s="20" t="n"/>
      <c r="E25" s="26" t="n"/>
      <c r="F25" s="22" t="n"/>
      <c r="G25" s="26" t="n"/>
      <c r="H25" s="21" t="n"/>
      <c r="I25" s="26" t="n"/>
      <c r="J25" s="26" t="n"/>
      <c r="K25" s="10">
        <f>IF(I25="","",I25+J25-E25)</f>
        <v/>
      </c>
      <c r="L25" s="93">
        <f>IF(C25="","",EDATE(C25,12))</f>
        <v/>
      </c>
      <c r="M25" s="20" t="n"/>
    </row>
    <row r="26" ht="15.75" customHeight="1">
      <c r="B26" s="20" t="n"/>
      <c r="C26" s="92" t="n"/>
      <c r="D26" s="20" t="n"/>
      <c r="E26" s="26" t="n"/>
      <c r="F26" s="22" t="n"/>
      <c r="G26" s="26" t="n"/>
      <c r="H26" s="21" t="n"/>
      <c r="I26" s="26" t="n"/>
      <c r="J26" s="26" t="n"/>
      <c r="K26" s="10">
        <f>IF(I26="","",I26+J26-E26)</f>
        <v/>
      </c>
      <c r="L26" s="93">
        <f>IF(C26="","",EDATE(C26,12))</f>
        <v/>
      </c>
      <c r="M26" s="20" t="n"/>
    </row>
    <row r="27" ht="15.75" customHeight="1">
      <c r="B27" s="20" t="n"/>
      <c r="C27" s="92" t="n"/>
      <c r="D27" s="20" t="n"/>
      <c r="E27" s="26" t="n"/>
      <c r="F27" s="22" t="n"/>
      <c r="G27" s="26" t="n"/>
      <c r="H27" s="21" t="n"/>
      <c r="I27" s="26" t="n"/>
      <c r="J27" s="26" t="n"/>
      <c r="K27" s="10">
        <f>IF(I27="","",I27+J27-E27)</f>
        <v/>
      </c>
      <c r="L27" s="93">
        <f>IF(C27="","",EDATE(C27,12))</f>
        <v/>
      </c>
      <c r="M27" s="20" t="n"/>
    </row>
    <row r="28" ht="15.75" customHeight="1">
      <c r="B28" s="20" t="n"/>
      <c r="C28" s="92" t="n"/>
      <c r="D28" s="20" t="n"/>
      <c r="E28" s="26" t="n"/>
      <c r="F28" s="22" t="n"/>
      <c r="G28" s="26" t="n"/>
      <c r="H28" s="21" t="n"/>
      <c r="I28" s="26" t="n"/>
      <c r="J28" s="26" t="n"/>
      <c r="K28" s="10">
        <f>IF(I28="","",I28+J28-E28)</f>
        <v/>
      </c>
      <c r="L28" s="93">
        <f>IF(C28="","",EDATE(C28,12))</f>
        <v/>
      </c>
      <c r="M28" s="20" t="n"/>
    </row>
    <row r="29" ht="15.75" customHeight="1">
      <c r="B29" s="20" t="n"/>
      <c r="C29" s="92" t="n"/>
      <c r="D29" s="20" t="n"/>
      <c r="E29" s="26" t="n"/>
      <c r="F29" s="22" t="n"/>
      <c r="G29" s="26" t="n"/>
      <c r="H29" s="21" t="n"/>
      <c r="I29" s="26" t="n"/>
      <c r="J29" s="26" t="n"/>
      <c r="K29" s="10">
        <f>IF(I29="","",I29+J29-E29)</f>
        <v/>
      </c>
      <c r="L29" s="93">
        <f>IF(C29="","",EDATE(C29,12))</f>
        <v/>
      </c>
      <c r="M29" s="20" t="n"/>
    </row>
    <row r="30" ht="15.75" customHeight="1">
      <c r="B30" s="20" t="n"/>
      <c r="C30" s="92" t="n"/>
      <c r="D30" s="20" t="n"/>
      <c r="E30" s="26" t="n"/>
      <c r="F30" s="22" t="n"/>
      <c r="G30" s="26" t="n"/>
      <c r="H30" s="21" t="n"/>
      <c r="I30" s="26" t="n"/>
      <c r="J30" s="26" t="n"/>
      <c r="K30" s="10">
        <f>IF(I30="","",I30+J30-E30)</f>
        <v/>
      </c>
      <c r="L30" s="93">
        <f>IF(C30="","",EDATE(C30,12))</f>
        <v/>
      </c>
      <c r="M30" s="20" t="n"/>
    </row>
    <row r="31" ht="15" customHeight="1">
      <c r="B31" s="94" t="inlineStr">
        <is>
          <t>TOTALS</t>
        </is>
      </c>
      <c r="C31" s="95" t="n"/>
      <c r="D31" s="96" t="n"/>
      <c r="E31" s="27">
        <f>SUM(E6:E30)</f>
        <v/>
      </c>
      <c r="F31" s="28">
        <f>SUM(F6:F30)</f>
        <v/>
      </c>
      <c r="G31" s="27">
        <f>SUM(G6:G30)</f>
        <v/>
      </c>
      <c r="H31" s="29" t="n"/>
      <c r="I31" s="27">
        <f>SUM(I6:I30)</f>
        <v/>
      </c>
      <c r="J31" s="27">
        <f>SUM(J6:J30)</f>
        <v/>
      </c>
      <c r="K31" s="27">
        <f>SUM(K6:K30)</f>
        <v/>
      </c>
      <c r="L31" s="29" t="n"/>
      <c r="M31" s="29" t="n"/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1">
    <mergeCell ref="B31:D31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N61"/>
  <sheetViews>
    <sheetView showGridLines="0" workbookViewId="0">
      <pane xSplit="1" ySplit="10" topLeftCell="B11" activePane="bottomRight" state="frozen"/>
      <selection pane="topRight" activeCell="B1" sqref="B1"/>
      <selection pane="bottomLeft" activeCell="A11" sqref="A11"/>
      <selection pane="bottomRight" activeCell="B11" sqref="B11"/>
    </sheetView>
  </sheetViews>
  <sheetFormatPr baseColWidth="8" defaultColWidth="14.453125" defaultRowHeight="15" customHeight="1"/>
  <cols>
    <col width="2" customWidth="1" min="1" max="1"/>
    <col width="12" customWidth="1" min="2" max="2"/>
    <col width="22" customWidth="1" min="3" max="3"/>
    <col width="16" customWidth="1" min="4" max="4"/>
    <col width="13" customWidth="1" min="5" max="5"/>
    <col width="11" customWidth="1" min="6" max="6"/>
    <col width="13" customWidth="1" min="7" max="7"/>
    <col width="11" customWidth="1" min="8" max="8"/>
    <col width="14" customWidth="1" min="9" max="9"/>
    <col width="13" customWidth="1" min="10" max="12"/>
    <col width="14" customWidth="1" min="13" max="13"/>
    <col width="30" customWidth="1" min="14" max="14"/>
  </cols>
  <sheetData>
    <row r="2" ht="25" customHeight="1">
      <c r="B2" s="1" t="inlineStr">
        <is>
          <t>3% Fee Spend Tracker</t>
        </is>
      </c>
    </row>
    <row r="3" ht="14.5" customHeight="1">
      <c r="B3" s="2" t="inlineStr">
        <is>
          <t>Daycare, taxes, etc. — non-bonus spend you pay by card. Tracks breakeven and net value.</t>
        </is>
      </c>
    </row>
    <row r="5" ht="15" customHeight="1">
      <c r="L5" s="94" t="inlineStr">
        <is>
          <t>ASSUMPTIONS</t>
        </is>
      </c>
      <c r="M5" s="95" t="n"/>
      <c r="N5" s="96" t="n"/>
    </row>
    <row r="6" ht="14.5" customHeight="1">
      <c r="L6" s="5" t="inlineStr">
        <is>
          <t>Your CPP (¢)</t>
        </is>
      </c>
      <c r="M6" s="30" t="n">
        <v>1.8</v>
      </c>
    </row>
    <row r="7" ht="26" customHeight="1">
      <c r="L7" s="5" t="inlineStr">
        <is>
          <t>Default fee rate</t>
        </is>
      </c>
      <c r="M7" s="97" t="n">
        <v>0.03</v>
      </c>
    </row>
    <row r="8" ht="26" customHeight="1">
      <c r="L8" s="5" t="inlineStr">
        <is>
          <t>Net = (Pts × CPP) − Fee</t>
        </is>
      </c>
      <c r="M8" s="32" t="inlineStr">
        <is>
          <t>Positive = good call</t>
        </is>
      </c>
    </row>
    <row r="10" ht="26" customHeight="1">
      <c r="B10" s="18" t="inlineStr">
        <is>
          <t>Date</t>
        </is>
      </c>
      <c r="C10" s="18" t="inlineStr">
        <is>
          <t>Payee</t>
        </is>
      </c>
      <c r="D10" s="18" t="inlineStr">
        <is>
          <t>Category</t>
        </is>
      </c>
      <c r="E10" s="18" t="inlineStr">
        <is>
          <t>Card Used</t>
        </is>
      </c>
      <c r="F10" s="18" t="inlineStr">
        <is>
          <t>Earn Rate (x)</t>
        </is>
      </c>
      <c r="G10" s="18" t="inlineStr">
        <is>
          <t>Charge ($)</t>
        </is>
      </c>
      <c r="H10" s="18" t="inlineStr">
        <is>
          <t>Fee Rate</t>
        </is>
      </c>
      <c r="I10" s="18" t="inlineStr">
        <is>
          <t>Fee Paid ($)</t>
        </is>
      </c>
      <c r="J10" s="18" t="inlineStr">
        <is>
          <t>Points Earned</t>
        </is>
      </c>
      <c r="K10" s="18" t="inlineStr">
        <is>
          <t>Points Value ($)</t>
        </is>
      </c>
      <c r="L10" s="18" t="inlineStr">
        <is>
          <t>Net Value ($)</t>
        </is>
      </c>
      <c r="M10" s="18" t="inlineStr">
        <is>
          <t>Breakeven CPP</t>
        </is>
      </c>
      <c r="N10" s="18" t="inlineStr">
        <is>
          <t>Notes</t>
        </is>
      </c>
    </row>
    <row r="11" ht="14.5" customHeight="1">
      <c r="B11" s="92" t="n">
        <v>46037</v>
      </c>
      <c r="C11" s="20" t="inlineStr">
        <is>
          <t>Derek's Daycare</t>
        </is>
      </c>
      <c r="D11" s="20" t="inlineStr">
        <is>
          <t>Childcare</t>
        </is>
      </c>
      <c r="E11" s="20" t="inlineStr">
        <is>
          <t>Amex Biz blue</t>
        </is>
      </c>
      <c r="F11" s="21" t="n">
        <v>2</v>
      </c>
      <c r="G11" s="98" t="n">
        <v>2500</v>
      </c>
      <c r="H11" s="99" t="n">
        <v>0.03</v>
      </c>
      <c r="I11" s="100">
        <f>G11*H11</f>
        <v/>
      </c>
      <c r="J11" s="11">
        <f>G11*F11</f>
        <v/>
      </c>
      <c r="K11" s="100">
        <f>J11*$M$6/100</f>
        <v/>
      </c>
      <c r="L11" s="101">
        <f>K11-I11</f>
        <v/>
      </c>
      <c r="M11" s="12">
        <f>IF(F11=0,"",H11/F11*100)</f>
        <v/>
      </c>
      <c r="N11" s="20" t="inlineStr">
        <is>
          <t>Monthly</t>
        </is>
      </c>
    </row>
    <row r="12" ht="14.5" customHeight="1">
      <c r="B12" s="92" t="n">
        <v>46068</v>
      </c>
      <c r="C12" s="20" t="inlineStr">
        <is>
          <t>Derek's Daycare</t>
        </is>
      </c>
      <c r="D12" s="20" t="inlineStr">
        <is>
          <t>Childcare</t>
        </is>
      </c>
      <c r="E12" s="20" t="inlineStr">
        <is>
          <t>Amex Biz blue</t>
        </is>
      </c>
      <c r="F12" s="21" t="n">
        <v>2</v>
      </c>
      <c r="G12" s="98" t="n">
        <v>2500</v>
      </c>
      <c r="H12" s="99" t="n">
        <v>0.03</v>
      </c>
      <c r="I12" s="100">
        <f>G12*H12</f>
        <v/>
      </c>
      <c r="J12" s="11">
        <f>G12*F12</f>
        <v/>
      </c>
      <c r="K12" s="100">
        <f>J12*$M$6/100</f>
        <v/>
      </c>
      <c r="L12" s="101">
        <f>K12-I12</f>
        <v/>
      </c>
      <c r="M12" s="12">
        <f>IF(F12=0,"",H12/F12*100)</f>
        <v/>
      </c>
      <c r="N12" s="20" t="inlineStr">
        <is>
          <t>Monthly</t>
        </is>
      </c>
    </row>
    <row r="13" ht="14.5" customHeight="1">
      <c r="B13" s="92" t="n">
        <v>46096</v>
      </c>
      <c r="C13" s="20" t="inlineStr">
        <is>
          <t>Derek's Daycare</t>
        </is>
      </c>
      <c r="D13" s="20" t="inlineStr">
        <is>
          <t>Childcare</t>
        </is>
      </c>
      <c r="E13" s="20" t="inlineStr">
        <is>
          <t>Amex Biz blue</t>
        </is>
      </c>
      <c r="F13" s="21" t="n">
        <v>2</v>
      </c>
      <c r="G13" s="98" t="n">
        <v>2500</v>
      </c>
      <c r="H13" s="99" t="n">
        <v>0.03</v>
      </c>
      <c r="I13" s="100">
        <f>G13*H13</f>
        <v/>
      </c>
      <c r="J13" s="11">
        <f>G13*F13</f>
        <v/>
      </c>
      <c r="K13" s="100">
        <f>J13*$M$6/100</f>
        <v/>
      </c>
      <c r="L13" s="101">
        <f>K13-I13</f>
        <v/>
      </c>
      <c r="M13" s="12">
        <f>IF(F13=0,"",H13/F13*100)</f>
        <v/>
      </c>
      <c r="N13" s="20" t="inlineStr">
        <is>
          <t>Monthly</t>
        </is>
      </c>
    </row>
    <row r="14" ht="14.5" customHeight="1">
      <c r="B14" s="92" t="n">
        <v>46127</v>
      </c>
      <c r="C14" s="20" t="inlineStr">
        <is>
          <t>Income Tax Q1</t>
        </is>
      </c>
      <c r="D14" s="20" t="inlineStr">
        <is>
          <t>Taxes</t>
        </is>
      </c>
      <c r="E14" s="20" t="inlineStr">
        <is>
          <t>Blue Biz Plus #</t>
        </is>
      </c>
      <c r="F14" s="21" t="n">
        <v>2</v>
      </c>
      <c r="G14" s="98" t="n">
        <v>5000</v>
      </c>
      <c r="H14" s="99" t="n">
        <v>0.0187</v>
      </c>
      <c r="I14" s="100">
        <f>G14*H14</f>
        <v/>
      </c>
      <c r="J14" s="11">
        <f>G14*F14</f>
        <v/>
      </c>
      <c r="K14" s="100">
        <f>J14*$M$6/100</f>
        <v/>
      </c>
      <c r="L14" s="101">
        <f>K14-I14</f>
        <v/>
      </c>
      <c r="M14" s="12">
        <f>IF(F14=0,"",H14/F14*100)</f>
        <v/>
      </c>
      <c r="N14" s="20" t="n"/>
    </row>
    <row r="15" ht="14.5" customHeight="1">
      <c r="B15" s="92" t="n">
        <v>46127</v>
      </c>
      <c r="C15" s="20" t="inlineStr">
        <is>
          <t>Income Tax Q1</t>
        </is>
      </c>
      <c r="D15" s="20" t="inlineStr">
        <is>
          <t>Taxes</t>
        </is>
      </c>
      <c r="E15" s="20" t="inlineStr">
        <is>
          <t>Amex Biz Gold #1</t>
        </is>
      </c>
      <c r="F15" s="21" t="n">
        <v>2</v>
      </c>
      <c r="G15" s="98" t="n">
        <v>8000</v>
      </c>
      <c r="H15" s="99" t="n">
        <v>0.019</v>
      </c>
      <c r="I15" s="100">
        <f>G15*H15</f>
        <v/>
      </c>
      <c r="J15" s="11">
        <f>G15*F15</f>
        <v/>
      </c>
      <c r="K15" s="100">
        <f>J15*$M$6/100</f>
        <v/>
      </c>
      <c r="L15" s="101">
        <f>K15-I15</f>
        <v/>
      </c>
      <c r="M15" s="12">
        <f>IF(F15=0,"",H15/F15*100)</f>
        <v/>
      </c>
      <c r="N15" s="20" t="n"/>
    </row>
    <row r="16" ht="14.5" customHeight="1">
      <c r="B16" s="92" t="n"/>
      <c r="C16" s="20" t="n"/>
      <c r="D16" s="20" t="n"/>
      <c r="E16" s="20" t="n"/>
      <c r="F16" s="21" t="n"/>
      <c r="G16" s="98" t="n"/>
      <c r="H16" s="99" t="n"/>
      <c r="I16" s="100">
        <f>IF(G16="","",G16*H16)</f>
        <v/>
      </c>
      <c r="J16" s="11">
        <f>IF(G16="","",G16*F16)</f>
        <v/>
      </c>
      <c r="K16" s="100">
        <f>IF(J16="","",J16*$M$6/100)</f>
        <v/>
      </c>
      <c r="L16" s="101">
        <f>IF(K16="","",K16-I16)</f>
        <v/>
      </c>
      <c r="M16" s="12">
        <f>IF(OR(F16="",F16=0),"",H16/F16*100)</f>
        <v/>
      </c>
      <c r="N16" s="20" t="n"/>
    </row>
    <row r="17" ht="14.5" customHeight="1">
      <c r="B17" s="92" t="n"/>
      <c r="C17" s="20" t="n"/>
      <c r="D17" s="20" t="n"/>
      <c r="E17" s="20" t="n"/>
      <c r="F17" s="21" t="n"/>
      <c r="G17" s="98" t="n"/>
      <c r="H17" s="99" t="n"/>
      <c r="I17" s="100">
        <f>IF(G17="","",G17*H17)</f>
        <v/>
      </c>
      <c r="J17" s="11">
        <f>IF(G17="","",G17*F17)</f>
        <v/>
      </c>
      <c r="K17" s="100">
        <f>IF(J17="","",J17*$M$6/100)</f>
        <v/>
      </c>
      <c r="L17" s="101">
        <f>IF(K17="","",K17-I17)</f>
        <v/>
      </c>
      <c r="M17" s="12">
        <f>IF(OR(F17="",F17=0),"",H17/F17*100)</f>
        <v/>
      </c>
      <c r="N17" s="20" t="n"/>
    </row>
    <row r="18" ht="14.5" customHeight="1">
      <c r="B18" s="92" t="n"/>
      <c r="C18" s="20" t="n"/>
      <c r="D18" s="20" t="n"/>
      <c r="E18" s="20" t="n"/>
      <c r="F18" s="21" t="n"/>
      <c r="G18" s="98" t="n"/>
      <c r="H18" s="99" t="n"/>
      <c r="I18" s="100">
        <f>IF(G18="","",G18*H18)</f>
        <v/>
      </c>
      <c r="J18" s="11">
        <f>IF(G18="","",G18*F18)</f>
        <v/>
      </c>
      <c r="K18" s="100">
        <f>IF(J18="","",J18*$M$6/100)</f>
        <v/>
      </c>
      <c r="L18" s="101">
        <f>IF(K18="","",K18-I18)</f>
        <v/>
      </c>
      <c r="M18" s="12">
        <f>IF(OR(F18="",F18=0),"",H18/F18*100)</f>
        <v/>
      </c>
      <c r="N18" s="20" t="n"/>
    </row>
    <row r="19" ht="14.5" customHeight="1">
      <c r="B19" s="92" t="n"/>
      <c r="C19" s="20" t="n"/>
      <c r="D19" s="20" t="n"/>
      <c r="E19" s="20" t="n"/>
      <c r="F19" s="21" t="n"/>
      <c r="G19" s="98" t="n"/>
      <c r="H19" s="99" t="n"/>
      <c r="I19" s="100">
        <f>IF(G19="","",G19*H19)</f>
        <v/>
      </c>
      <c r="J19" s="11">
        <f>IF(G19="","",G19*F19)</f>
        <v/>
      </c>
      <c r="K19" s="100">
        <f>IF(J19="","",J19*$M$6/100)</f>
        <v/>
      </c>
      <c r="L19" s="101">
        <f>IF(K19="","",K19-I19)</f>
        <v/>
      </c>
      <c r="M19" s="12">
        <f>IF(OR(F19="",F19=0),"",H19/F19*100)</f>
        <v/>
      </c>
      <c r="N19" s="20" t="n"/>
    </row>
    <row r="20" ht="14.5" customHeight="1">
      <c r="B20" s="92" t="n"/>
      <c r="C20" s="20" t="n"/>
      <c r="D20" s="20" t="n"/>
      <c r="E20" s="20" t="n"/>
      <c r="F20" s="21" t="n"/>
      <c r="G20" s="98" t="n"/>
      <c r="H20" s="99" t="n"/>
      <c r="I20" s="100">
        <f>IF(G20="","",G20*H20)</f>
        <v/>
      </c>
      <c r="J20" s="11">
        <f>IF(G20="","",G20*F20)</f>
        <v/>
      </c>
      <c r="K20" s="100">
        <f>IF(J20="","",J20*$M$6/100)</f>
        <v/>
      </c>
      <c r="L20" s="101">
        <f>IF(K20="","",K20-I20)</f>
        <v/>
      </c>
      <c r="M20" s="12">
        <f>IF(OR(F20="",F20=0),"",H20/F20*100)</f>
        <v/>
      </c>
      <c r="N20" s="20" t="n"/>
    </row>
    <row r="21" ht="15.75" customHeight="1">
      <c r="B21" s="92" t="n"/>
      <c r="C21" s="20" t="n"/>
      <c r="D21" s="20" t="n"/>
      <c r="E21" s="20" t="n"/>
      <c r="F21" s="21" t="n"/>
      <c r="G21" s="98" t="n"/>
      <c r="H21" s="99" t="n"/>
      <c r="I21" s="100">
        <f>IF(G21="","",G21*H21)</f>
        <v/>
      </c>
      <c r="J21" s="11">
        <f>IF(G21="","",G21*F21)</f>
        <v/>
      </c>
      <c r="K21" s="100">
        <f>IF(J21="","",J21*$M$6/100)</f>
        <v/>
      </c>
      <c r="L21" s="101">
        <f>IF(K21="","",K21-I21)</f>
        <v/>
      </c>
      <c r="M21" s="12">
        <f>IF(OR(F21="",F21=0),"",H21/F21*100)</f>
        <v/>
      </c>
      <c r="N21" s="20" t="n"/>
    </row>
    <row r="22" ht="15.75" customHeight="1">
      <c r="B22" s="92" t="n"/>
      <c r="C22" s="20" t="n"/>
      <c r="D22" s="20" t="n"/>
      <c r="E22" s="20" t="n"/>
      <c r="F22" s="21" t="n"/>
      <c r="G22" s="98" t="n"/>
      <c r="H22" s="99" t="n"/>
      <c r="I22" s="100">
        <f>IF(G22="","",G22*H22)</f>
        <v/>
      </c>
      <c r="J22" s="11">
        <f>IF(G22="","",G22*F22)</f>
        <v/>
      </c>
      <c r="K22" s="100">
        <f>IF(J22="","",J22*$M$6/100)</f>
        <v/>
      </c>
      <c r="L22" s="101">
        <f>IF(K22="","",K22-I22)</f>
        <v/>
      </c>
      <c r="M22" s="12">
        <f>IF(OR(F22="",F22=0),"",H22/F22*100)</f>
        <v/>
      </c>
      <c r="N22" s="20" t="n"/>
    </row>
    <row r="23" ht="15.75" customHeight="1">
      <c r="B23" s="92" t="n"/>
      <c r="C23" s="20" t="n"/>
      <c r="D23" s="20" t="n"/>
      <c r="E23" s="20" t="n"/>
      <c r="F23" s="21" t="n"/>
      <c r="G23" s="98" t="n"/>
      <c r="H23" s="99" t="n"/>
      <c r="I23" s="100">
        <f>IF(G23="","",G23*H23)</f>
        <v/>
      </c>
      <c r="J23" s="11">
        <f>IF(G23="","",G23*F23)</f>
        <v/>
      </c>
      <c r="K23" s="100">
        <f>IF(J23="","",J23*$M$6/100)</f>
        <v/>
      </c>
      <c r="L23" s="101">
        <f>IF(K23="","",K23-I23)</f>
        <v/>
      </c>
      <c r="M23" s="12">
        <f>IF(OR(F23="",F23=0),"",H23/F23*100)</f>
        <v/>
      </c>
      <c r="N23" s="20" t="n"/>
    </row>
    <row r="24" ht="15.75" customHeight="1">
      <c r="B24" s="92" t="n"/>
      <c r="C24" s="20" t="n"/>
      <c r="D24" s="20" t="n"/>
      <c r="E24" s="20" t="n"/>
      <c r="F24" s="21" t="n"/>
      <c r="G24" s="98" t="n"/>
      <c r="H24" s="99" t="n"/>
      <c r="I24" s="100">
        <f>IF(G24="","",G24*H24)</f>
        <v/>
      </c>
      <c r="J24" s="11">
        <f>IF(G24="","",G24*F24)</f>
        <v/>
      </c>
      <c r="K24" s="100">
        <f>IF(J24="","",J24*$M$6/100)</f>
        <v/>
      </c>
      <c r="L24" s="101">
        <f>IF(K24="","",K24-I24)</f>
        <v/>
      </c>
      <c r="M24" s="12">
        <f>IF(OR(F24="",F24=0),"",H24/F24*100)</f>
        <v/>
      </c>
      <c r="N24" s="20" t="n"/>
    </row>
    <row r="25" ht="15.75" customHeight="1">
      <c r="B25" s="92" t="n"/>
      <c r="C25" s="20" t="n"/>
      <c r="D25" s="20" t="n"/>
      <c r="E25" s="20" t="n"/>
      <c r="F25" s="21" t="n"/>
      <c r="G25" s="98" t="n"/>
      <c r="H25" s="99" t="n"/>
      <c r="I25" s="100">
        <f>IF(G25="","",G25*H25)</f>
        <v/>
      </c>
      <c r="J25" s="11">
        <f>IF(G25="","",G25*F25)</f>
        <v/>
      </c>
      <c r="K25" s="100">
        <f>IF(J25="","",J25*$M$6/100)</f>
        <v/>
      </c>
      <c r="L25" s="101">
        <f>IF(K25="","",K25-I25)</f>
        <v/>
      </c>
      <c r="M25" s="12">
        <f>IF(OR(F25="",F25=0),"",H25/F25*100)</f>
        <v/>
      </c>
      <c r="N25" s="20" t="n"/>
    </row>
    <row r="26" ht="15.75" customHeight="1">
      <c r="B26" s="92" t="n"/>
      <c r="C26" s="20" t="n"/>
      <c r="D26" s="20" t="n"/>
      <c r="E26" s="20" t="n"/>
      <c r="F26" s="21" t="n"/>
      <c r="G26" s="98" t="n"/>
      <c r="H26" s="99" t="n"/>
      <c r="I26" s="100">
        <f>IF(G26="","",G26*H26)</f>
        <v/>
      </c>
      <c r="J26" s="11">
        <f>IF(G26="","",G26*F26)</f>
        <v/>
      </c>
      <c r="K26" s="100">
        <f>IF(J26="","",J26*$M$6/100)</f>
        <v/>
      </c>
      <c r="L26" s="101">
        <f>IF(K26="","",K26-I26)</f>
        <v/>
      </c>
      <c r="M26" s="12">
        <f>IF(OR(F26="",F26=0),"",H26/F26*100)</f>
        <v/>
      </c>
      <c r="N26" s="20" t="n"/>
    </row>
    <row r="27" ht="15.75" customHeight="1">
      <c r="B27" s="92" t="n"/>
      <c r="C27" s="20" t="n"/>
      <c r="D27" s="20" t="n"/>
      <c r="E27" s="20" t="n"/>
      <c r="F27" s="21" t="n"/>
      <c r="G27" s="98" t="n"/>
      <c r="H27" s="99" t="n"/>
      <c r="I27" s="100">
        <f>IF(G27="","",G27*H27)</f>
        <v/>
      </c>
      <c r="J27" s="11">
        <f>IF(G27="","",G27*F27)</f>
        <v/>
      </c>
      <c r="K27" s="100">
        <f>IF(J27="","",J27*$M$6/100)</f>
        <v/>
      </c>
      <c r="L27" s="101">
        <f>IF(K27="","",K27-I27)</f>
        <v/>
      </c>
      <c r="M27" s="12">
        <f>IF(OR(F27="",F27=0),"",H27/F27*100)</f>
        <v/>
      </c>
      <c r="N27" s="20" t="n"/>
    </row>
    <row r="28" ht="15.75" customHeight="1">
      <c r="B28" s="92" t="n"/>
      <c r="C28" s="20" t="n"/>
      <c r="D28" s="20" t="n"/>
      <c r="E28" s="20" t="n"/>
      <c r="F28" s="21" t="n"/>
      <c r="G28" s="98" t="n"/>
      <c r="H28" s="99" t="n"/>
      <c r="I28" s="100">
        <f>IF(G28="","",G28*H28)</f>
        <v/>
      </c>
      <c r="J28" s="11">
        <f>IF(G28="","",G28*F28)</f>
        <v/>
      </c>
      <c r="K28" s="100">
        <f>IF(J28="","",J28*$M$6/100)</f>
        <v/>
      </c>
      <c r="L28" s="101">
        <f>IF(K28="","",K28-I28)</f>
        <v/>
      </c>
      <c r="M28" s="12">
        <f>IF(OR(F28="",F28=0),"",H28/F28*100)</f>
        <v/>
      </c>
      <c r="N28" s="20" t="n"/>
    </row>
    <row r="29" ht="15.75" customHeight="1">
      <c r="B29" s="92" t="n"/>
      <c r="C29" s="20" t="n"/>
      <c r="D29" s="20" t="n"/>
      <c r="E29" s="20" t="n"/>
      <c r="F29" s="21" t="n"/>
      <c r="G29" s="98" t="n"/>
      <c r="H29" s="99" t="n"/>
      <c r="I29" s="100">
        <f>IF(G29="","",G29*H29)</f>
        <v/>
      </c>
      <c r="J29" s="11">
        <f>IF(G29="","",G29*F29)</f>
        <v/>
      </c>
      <c r="K29" s="100">
        <f>IF(J29="","",J29*$M$6/100)</f>
        <v/>
      </c>
      <c r="L29" s="101">
        <f>IF(K29="","",K29-I29)</f>
        <v/>
      </c>
      <c r="M29" s="12">
        <f>IF(OR(F29="",F29=0),"",H29/F29*100)</f>
        <v/>
      </c>
      <c r="N29" s="20" t="n"/>
    </row>
    <row r="30" ht="15.75" customHeight="1">
      <c r="B30" s="92" t="n"/>
      <c r="C30" s="20" t="n"/>
      <c r="D30" s="20" t="n"/>
      <c r="E30" s="20" t="n"/>
      <c r="F30" s="21" t="n"/>
      <c r="G30" s="98" t="n"/>
      <c r="H30" s="99" t="n"/>
      <c r="I30" s="100">
        <f>IF(G30="","",G30*H30)</f>
        <v/>
      </c>
      <c r="J30" s="11">
        <f>IF(G30="","",G30*F30)</f>
        <v/>
      </c>
      <c r="K30" s="100">
        <f>IF(J30="","",J30*$M$6/100)</f>
        <v/>
      </c>
      <c r="L30" s="101">
        <f>IF(K30="","",K30-I30)</f>
        <v/>
      </c>
      <c r="M30" s="12">
        <f>IF(OR(F30="",F30=0),"",H30/F30*100)</f>
        <v/>
      </c>
      <c r="N30" s="20" t="n"/>
    </row>
    <row r="31" ht="15.75" customHeight="1">
      <c r="B31" s="92" t="n"/>
      <c r="C31" s="20" t="n"/>
      <c r="D31" s="20" t="n"/>
      <c r="E31" s="20" t="n"/>
      <c r="F31" s="21" t="n"/>
      <c r="G31" s="98" t="n"/>
      <c r="H31" s="99" t="n"/>
      <c r="I31" s="100">
        <f>IF(G31="","",G31*H31)</f>
        <v/>
      </c>
      <c r="J31" s="11">
        <f>IF(G31="","",G31*F31)</f>
        <v/>
      </c>
      <c r="K31" s="100">
        <f>IF(J31="","",J31*$M$6/100)</f>
        <v/>
      </c>
      <c r="L31" s="101">
        <f>IF(K31="","",K31-I31)</f>
        <v/>
      </c>
      <c r="M31" s="12">
        <f>IF(OR(F31="",F31=0),"",H31/F31*100)</f>
        <v/>
      </c>
      <c r="N31" s="20" t="n"/>
    </row>
    <row r="32" ht="15.75" customHeight="1">
      <c r="B32" s="92" t="n"/>
      <c r="C32" s="20" t="n"/>
      <c r="D32" s="20" t="n"/>
      <c r="E32" s="20" t="n"/>
      <c r="F32" s="21" t="n"/>
      <c r="G32" s="98" t="n"/>
      <c r="H32" s="99" t="n"/>
      <c r="I32" s="100">
        <f>IF(G32="","",G32*H32)</f>
        <v/>
      </c>
      <c r="J32" s="11">
        <f>IF(G32="","",G32*F32)</f>
        <v/>
      </c>
      <c r="K32" s="100">
        <f>IF(J32="","",J32*$M$6/100)</f>
        <v/>
      </c>
      <c r="L32" s="101">
        <f>IF(K32="","",K32-I32)</f>
        <v/>
      </c>
      <c r="M32" s="12">
        <f>IF(OR(F32="",F32=0),"",H32/F32*100)</f>
        <v/>
      </c>
      <c r="N32" s="20" t="n"/>
    </row>
    <row r="33" ht="15.75" customHeight="1">
      <c r="B33" s="92" t="n"/>
      <c r="C33" s="20" t="n"/>
      <c r="D33" s="20" t="n"/>
      <c r="E33" s="20" t="n"/>
      <c r="F33" s="21" t="n"/>
      <c r="G33" s="98" t="n"/>
      <c r="H33" s="99" t="n"/>
      <c r="I33" s="100">
        <f>IF(G33="","",G33*H33)</f>
        <v/>
      </c>
      <c r="J33" s="11">
        <f>IF(G33="","",G33*F33)</f>
        <v/>
      </c>
      <c r="K33" s="100">
        <f>IF(J33="","",J33*$M$6/100)</f>
        <v/>
      </c>
      <c r="L33" s="101">
        <f>IF(K33="","",K33-I33)</f>
        <v/>
      </c>
      <c r="M33" s="12">
        <f>IF(OR(F33="",F33=0),"",H33/F33*100)</f>
        <v/>
      </c>
      <c r="N33" s="20" t="n"/>
    </row>
    <row r="34" ht="15.75" customHeight="1">
      <c r="B34" s="92" t="n"/>
      <c r="C34" s="20" t="n"/>
      <c r="D34" s="20" t="n"/>
      <c r="E34" s="20" t="n"/>
      <c r="F34" s="21" t="n"/>
      <c r="G34" s="98" t="n"/>
      <c r="H34" s="99" t="n"/>
      <c r="I34" s="100">
        <f>IF(G34="","",G34*H34)</f>
        <v/>
      </c>
      <c r="J34" s="11">
        <f>IF(G34="","",G34*F34)</f>
        <v/>
      </c>
      <c r="K34" s="100">
        <f>IF(J34="","",J34*$M$6/100)</f>
        <v/>
      </c>
      <c r="L34" s="101">
        <f>IF(K34="","",K34-I34)</f>
        <v/>
      </c>
      <c r="M34" s="12">
        <f>IF(OR(F34="",F34=0),"",H34/F34*100)</f>
        <v/>
      </c>
      <c r="N34" s="20" t="n"/>
    </row>
    <row r="35" ht="15.75" customHeight="1">
      <c r="B35" s="92" t="n"/>
      <c r="C35" s="20" t="n"/>
      <c r="D35" s="20" t="n"/>
      <c r="E35" s="20" t="n"/>
      <c r="F35" s="21" t="n"/>
      <c r="G35" s="98" t="n"/>
      <c r="H35" s="99" t="n"/>
      <c r="I35" s="100">
        <f>IF(G35="","",G35*H35)</f>
        <v/>
      </c>
      <c r="J35" s="11">
        <f>IF(G35="","",G35*F35)</f>
        <v/>
      </c>
      <c r="K35" s="100">
        <f>IF(J35="","",J35*$M$6/100)</f>
        <v/>
      </c>
      <c r="L35" s="101">
        <f>IF(K35="","",K35-I35)</f>
        <v/>
      </c>
      <c r="M35" s="12">
        <f>IF(OR(F35="",F35=0),"",H35/F35*100)</f>
        <v/>
      </c>
      <c r="N35" s="20" t="n"/>
    </row>
    <row r="36" ht="15.75" customHeight="1">
      <c r="B36" s="92" t="n"/>
      <c r="C36" s="20" t="n"/>
      <c r="D36" s="20" t="n"/>
      <c r="E36" s="20" t="n"/>
      <c r="F36" s="21" t="n"/>
      <c r="G36" s="98" t="n"/>
      <c r="H36" s="99" t="n"/>
      <c r="I36" s="100">
        <f>IF(G36="","",G36*H36)</f>
        <v/>
      </c>
      <c r="J36" s="11">
        <f>IF(G36="","",G36*F36)</f>
        <v/>
      </c>
      <c r="K36" s="100">
        <f>IF(J36="","",J36*$M$6/100)</f>
        <v/>
      </c>
      <c r="L36" s="101">
        <f>IF(K36="","",K36-I36)</f>
        <v/>
      </c>
      <c r="M36" s="12">
        <f>IF(OR(F36="",F36=0),"",H36/F36*100)</f>
        <v/>
      </c>
      <c r="N36" s="20" t="n"/>
    </row>
    <row r="37" ht="15.75" customHeight="1">
      <c r="B37" s="92" t="n"/>
      <c r="C37" s="20" t="n"/>
      <c r="D37" s="20" t="n"/>
      <c r="E37" s="20" t="n"/>
      <c r="F37" s="21" t="n"/>
      <c r="G37" s="98" t="n"/>
      <c r="H37" s="99" t="n"/>
      <c r="I37" s="100">
        <f>IF(G37="","",G37*H37)</f>
        <v/>
      </c>
      <c r="J37" s="11">
        <f>IF(G37="","",G37*F37)</f>
        <v/>
      </c>
      <c r="K37" s="100">
        <f>IF(J37="","",J37*$M$6/100)</f>
        <v/>
      </c>
      <c r="L37" s="101">
        <f>IF(K37="","",K37-I37)</f>
        <v/>
      </c>
      <c r="M37" s="12">
        <f>IF(OR(F37="",F37=0),"",H37/F37*100)</f>
        <v/>
      </c>
      <c r="N37" s="20" t="n"/>
    </row>
    <row r="38" ht="15.75" customHeight="1">
      <c r="B38" s="92" t="n"/>
      <c r="C38" s="20" t="n"/>
      <c r="D38" s="20" t="n"/>
      <c r="E38" s="20" t="n"/>
      <c r="F38" s="21" t="n"/>
      <c r="G38" s="98" t="n"/>
      <c r="H38" s="99" t="n"/>
      <c r="I38" s="100">
        <f>IF(G38="","",G38*H38)</f>
        <v/>
      </c>
      <c r="J38" s="11">
        <f>IF(G38="","",G38*F38)</f>
        <v/>
      </c>
      <c r="K38" s="100">
        <f>IF(J38="","",J38*$M$6/100)</f>
        <v/>
      </c>
      <c r="L38" s="101">
        <f>IF(K38="","",K38-I38)</f>
        <v/>
      </c>
      <c r="M38" s="12">
        <f>IF(OR(F38="",F38=0),"",H38/F38*100)</f>
        <v/>
      </c>
      <c r="N38" s="20" t="n"/>
    </row>
    <row r="39" ht="15.75" customHeight="1">
      <c r="B39" s="92" t="n"/>
      <c r="C39" s="20" t="n"/>
      <c r="D39" s="20" t="n"/>
      <c r="E39" s="20" t="n"/>
      <c r="F39" s="21" t="n"/>
      <c r="G39" s="98" t="n"/>
      <c r="H39" s="99" t="n"/>
      <c r="I39" s="100">
        <f>IF(G39="","",G39*H39)</f>
        <v/>
      </c>
      <c r="J39" s="11">
        <f>IF(G39="","",G39*F39)</f>
        <v/>
      </c>
      <c r="K39" s="100">
        <f>IF(J39="","",J39*$M$6/100)</f>
        <v/>
      </c>
      <c r="L39" s="101">
        <f>IF(K39="","",K39-I39)</f>
        <v/>
      </c>
      <c r="M39" s="12">
        <f>IF(OR(F39="",F39=0),"",H39/F39*100)</f>
        <v/>
      </c>
      <c r="N39" s="20" t="n"/>
    </row>
    <row r="40" ht="15.75" customHeight="1">
      <c r="B40" s="92" t="n"/>
      <c r="C40" s="20" t="n"/>
      <c r="D40" s="20" t="n"/>
      <c r="E40" s="20" t="n"/>
      <c r="F40" s="21" t="n"/>
      <c r="G40" s="98" t="n"/>
      <c r="H40" s="99" t="n"/>
      <c r="I40" s="100">
        <f>IF(G40="","",G40*H40)</f>
        <v/>
      </c>
      <c r="J40" s="11">
        <f>IF(G40="","",G40*F40)</f>
        <v/>
      </c>
      <c r="K40" s="100">
        <f>IF(J40="","",J40*$M$6/100)</f>
        <v/>
      </c>
      <c r="L40" s="101">
        <f>IF(K40="","",K40-I40)</f>
        <v/>
      </c>
      <c r="M40" s="12">
        <f>IF(OR(F40="",F40=0),"",H40/F40*100)</f>
        <v/>
      </c>
      <c r="N40" s="20" t="n"/>
    </row>
    <row r="41" ht="15.75" customHeight="1">
      <c r="B41" s="92" t="n"/>
      <c r="C41" s="20" t="n"/>
      <c r="D41" s="20" t="n"/>
      <c r="E41" s="20" t="n"/>
      <c r="F41" s="21" t="n"/>
      <c r="G41" s="98" t="n"/>
      <c r="H41" s="99" t="n"/>
      <c r="I41" s="100">
        <f>IF(G41="","",G41*H41)</f>
        <v/>
      </c>
      <c r="J41" s="11">
        <f>IF(G41="","",G41*F41)</f>
        <v/>
      </c>
      <c r="K41" s="100">
        <f>IF(J41="","",J41*$M$6/100)</f>
        <v/>
      </c>
      <c r="L41" s="101">
        <f>IF(K41="","",K41-I41)</f>
        <v/>
      </c>
      <c r="M41" s="12">
        <f>IF(OR(F41="",F41=0),"",H41/F41*100)</f>
        <v/>
      </c>
      <c r="N41" s="20" t="n"/>
    </row>
    <row r="42" ht="15.75" customHeight="1">
      <c r="B42" s="92" t="n"/>
      <c r="C42" s="20" t="n"/>
      <c r="D42" s="20" t="n"/>
      <c r="E42" s="20" t="n"/>
      <c r="F42" s="21" t="n"/>
      <c r="G42" s="98" t="n"/>
      <c r="H42" s="99" t="n"/>
      <c r="I42" s="100">
        <f>IF(G42="","",G42*H42)</f>
        <v/>
      </c>
      <c r="J42" s="11">
        <f>IF(G42="","",G42*F42)</f>
        <v/>
      </c>
      <c r="K42" s="100">
        <f>IF(J42="","",J42*$M$6/100)</f>
        <v/>
      </c>
      <c r="L42" s="101">
        <f>IF(K42="","",K42-I42)</f>
        <v/>
      </c>
      <c r="M42" s="12">
        <f>IF(OR(F42="",F42=0),"",H42/F42*100)</f>
        <v/>
      </c>
      <c r="N42" s="20" t="n"/>
    </row>
    <row r="43" ht="15.75" customHeight="1">
      <c r="B43" s="92" t="n"/>
      <c r="C43" s="20" t="n"/>
      <c r="D43" s="20" t="n"/>
      <c r="E43" s="20" t="n"/>
      <c r="F43" s="21" t="n"/>
      <c r="G43" s="98" t="n"/>
      <c r="H43" s="99" t="n"/>
      <c r="I43" s="100">
        <f>IF(G43="","",G43*H43)</f>
        <v/>
      </c>
      <c r="J43" s="11">
        <f>IF(G43="","",G43*F43)</f>
        <v/>
      </c>
      <c r="K43" s="100">
        <f>IF(J43="","",J43*$M$6/100)</f>
        <v/>
      </c>
      <c r="L43" s="101">
        <f>IF(K43="","",K43-I43)</f>
        <v/>
      </c>
      <c r="M43" s="12">
        <f>IF(OR(F43="",F43=0),"",H43/F43*100)</f>
        <v/>
      </c>
      <c r="N43" s="20" t="n"/>
    </row>
    <row r="44" ht="15.75" customHeight="1">
      <c r="B44" s="92" t="n"/>
      <c r="C44" s="20" t="n"/>
      <c r="D44" s="20" t="n"/>
      <c r="E44" s="20" t="n"/>
      <c r="F44" s="21" t="n"/>
      <c r="G44" s="98" t="n"/>
      <c r="H44" s="99" t="n"/>
      <c r="I44" s="100">
        <f>IF(G44="","",G44*H44)</f>
        <v/>
      </c>
      <c r="J44" s="11">
        <f>IF(G44="","",G44*F44)</f>
        <v/>
      </c>
      <c r="K44" s="100">
        <f>IF(J44="","",J44*$M$6/100)</f>
        <v/>
      </c>
      <c r="L44" s="101">
        <f>IF(K44="","",K44-I44)</f>
        <v/>
      </c>
      <c r="M44" s="12">
        <f>IF(OR(F44="",F44=0),"",H44/F44*100)</f>
        <v/>
      </c>
      <c r="N44" s="20" t="n"/>
    </row>
    <row r="45" ht="15.75" customHeight="1">
      <c r="B45" s="92" t="n"/>
      <c r="C45" s="20" t="n"/>
      <c r="D45" s="20" t="n"/>
      <c r="E45" s="20" t="n"/>
      <c r="F45" s="21" t="n"/>
      <c r="G45" s="98" t="n"/>
      <c r="H45" s="99" t="n"/>
      <c r="I45" s="100">
        <f>IF(G45="","",G45*H45)</f>
        <v/>
      </c>
      <c r="J45" s="11">
        <f>IF(G45="","",G45*F45)</f>
        <v/>
      </c>
      <c r="K45" s="100">
        <f>IF(J45="","",J45*$M$6/100)</f>
        <v/>
      </c>
      <c r="L45" s="101">
        <f>IF(K45="","",K45-I45)</f>
        <v/>
      </c>
      <c r="M45" s="12">
        <f>IF(OR(F45="",F45=0),"",H45/F45*100)</f>
        <v/>
      </c>
      <c r="N45" s="20" t="n"/>
    </row>
    <row r="46" ht="15.75" customHeight="1">
      <c r="B46" s="92" t="n"/>
      <c r="C46" s="20" t="n"/>
      <c r="D46" s="20" t="n"/>
      <c r="E46" s="20" t="n"/>
      <c r="F46" s="21" t="n"/>
      <c r="G46" s="98" t="n"/>
      <c r="H46" s="99" t="n"/>
      <c r="I46" s="100">
        <f>IF(G46="","",G46*H46)</f>
        <v/>
      </c>
      <c r="J46" s="11">
        <f>IF(G46="","",G46*F46)</f>
        <v/>
      </c>
      <c r="K46" s="100">
        <f>IF(J46="","",J46*$M$6/100)</f>
        <v/>
      </c>
      <c r="L46" s="101">
        <f>IF(K46="","",K46-I46)</f>
        <v/>
      </c>
      <c r="M46" s="12">
        <f>IF(OR(F46="",F46=0),"",H46/F46*100)</f>
        <v/>
      </c>
      <c r="N46" s="20" t="n"/>
    </row>
    <row r="47" ht="15.75" customHeight="1">
      <c r="B47" s="92" t="n"/>
      <c r="C47" s="20" t="n"/>
      <c r="D47" s="20" t="n"/>
      <c r="E47" s="20" t="n"/>
      <c r="F47" s="21" t="n"/>
      <c r="G47" s="98" t="n"/>
      <c r="H47" s="99" t="n"/>
      <c r="I47" s="100">
        <f>IF(G47="","",G47*H47)</f>
        <v/>
      </c>
      <c r="J47" s="11">
        <f>IF(G47="","",G47*F47)</f>
        <v/>
      </c>
      <c r="K47" s="100">
        <f>IF(J47="","",J47*$M$6/100)</f>
        <v/>
      </c>
      <c r="L47" s="101">
        <f>IF(K47="","",K47-I47)</f>
        <v/>
      </c>
      <c r="M47" s="12">
        <f>IF(OR(F47="",F47=0),"",H47/F47*100)</f>
        <v/>
      </c>
      <c r="N47" s="20" t="n"/>
    </row>
    <row r="48" ht="15.75" customHeight="1">
      <c r="B48" s="92" t="n"/>
      <c r="C48" s="20" t="n"/>
      <c r="D48" s="20" t="n"/>
      <c r="E48" s="20" t="n"/>
      <c r="F48" s="21" t="n"/>
      <c r="G48" s="98" t="n"/>
      <c r="H48" s="99" t="n"/>
      <c r="I48" s="100">
        <f>IF(G48="","",G48*H48)</f>
        <v/>
      </c>
      <c r="J48" s="11">
        <f>IF(G48="","",G48*F48)</f>
        <v/>
      </c>
      <c r="K48" s="100">
        <f>IF(J48="","",J48*$M$6/100)</f>
        <v/>
      </c>
      <c r="L48" s="101">
        <f>IF(K48="","",K48-I48)</f>
        <v/>
      </c>
      <c r="M48" s="12">
        <f>IF(OR(F48="",F48=0),"",H48/F48*100)</f>
        <v/>
      </c>
      <c r="N48" s="20" t="n"/>
    </row>
    <row r="49" ht="15.75" customHeight="1">
      <c r="B49" s="92" t="n"/>
      <c r="C49" s="20" t="n"/>
      <c r="D49" s="20" t="n"/>
      <c r="E49" s="20" t="n"/>
      <c r="F49" s="21" t="n"/>
      <c r="G49" s="98" t="n"/>
      <c r="H49" s="99" t="n"/>
      <c r="I49" s="100">
        <f>IF(G49="","",G49*H49)</f>
        <v/>
      </c>
      <c r="J49" s="11">
        <f>IF(G49="","",G49*F49)</f>
        <v/>
      </c>
      <c r="K49" s="100">
        <f>IF(J49="","",J49*$M$6/100)</f>
        <v/>
      </c>
      <c r="L49" s="101">
        <f>IF(K49="","",K49-I49)</f>
        <v/>
      </c>
      <c r="M49" s="12">
        <f>IF(OR(F49="",F49=0),"",H49/F49*100)</f>
        <v/>
      </c>
      <c r="N49" s="20" t="n"/>
    </row>
    <row r="50" ht="15.75" customHeight="1">
      <c r="B50" s="92" t="n"/>
      <c r="C50" s="20" t="n"/>
      <c r="D50" s="20" t="n"/>
      <c r="E50" s="20" t="n"/>
      <c r="F50" s="21" t="n"/>
      <c r="G50" s="98" t="n"/>
      <c r="H50" s="99" t="n"/>
      <c r="I50" s="100">
        <f>IF(G50="","",G50*H50)</f>
        <v/>
      </c>
      <c r="J50" s="11">
        <f>IF(G50="","",G50*F50)</f>
        <v/>
      </c>
      <c r="K50" s="100">
        <f>IF(J50="","",J50*$M$6/100)</f>
        <v/>
      </c>
      <c r="L50" s="101">
        <f>IF(K50="","",K50-I50)</f>
        <v/>
      </c>
      <c r="M50" s="12">
        <f>IF(OR(F50="",F50=0),"",H50/F50*100)</f>
        <v/>
      </c>
      <c r="N50" s="20" t="n"/>
    </row>
    <row r="51" ht="15.75" customHeight="1">
      <c r="B51" s="92" t="n"/>
      <c r="C51" s="20" t="n"/>
      <c r="D51" s="20" t="n"/>
      <c r="E51" s="20" t="n"/>
      <c r="F51" s="21" t="n"/>
      <c r="G51" s="98" t="n"/>
      <c r="H51" s="99" t="n"/>
      <c r="I51" s="100">
        <f>IF(G51="","",G51*H51)</f>
        <v/>
      </c>
      <c r="J51" s="11">
        <f>IF(G51="","",G51*F51)</f>
        <v/>
      </c>
      <c r="K51" s="100">
        <f>IF(J51="","",J51*$M$6/100)</f>
        <v/>
      </c>
      <c r="L51" s="101">
        <f>IF(K51="","",K51-I51)</f>
        <v/>
      </c>
      <c r="M51" s="12">
        <f>IF(OR(F51="",F51=0),"",H51/F51*100)</f>
        <v/>
      </c>
      <c r="N51" s="20" t="n"/>
    </row>
    <row r="52" ht="15.75" customHeight="1">
      <c r="B52" s="92" t="n"/>
      <c r="C52" s="20" t="n"/>
      <c r="D52" s="20" t="n"/>
      <c r="E52" s="20" t="n"/>
      <c r="F52" s="21" t="n"/>
      <c r="G52" s="98" t="n"/>
      <c r="H52" s="99" t="n"/>
      <c r="I52" s="100">
        <f>IF(G52="","",G52*H52)</f>
        <v/>
      </c>
      <c r="J52" s="11">
        <f>IF(G52="","",G52*F52)</f>
        <v/>
      </c>
      <c r="K52" s="100">
        <f>IF(J52="","",J52*$M$6/100)</f>
        <v/>
      </c>
      <c r="L52" s="101">
        <f>IF(K52="","",K52-I52)</f>
        <v/>
      </c>
      <c r="M52" s="12">
        <f>IF(OR(F52="",F52=0),"",H52/F52*100)</f>
        <v/>
      </c>
      <c r="N52" s="20" t="n"/>
    </row>
    <row r="53" ht="15.75" customHeight="1">
      <c r="B53" s="92" t="n"/>
      <c r="C53" s="20" t="n"/>
      <c r="D53" s="20" t="n"/>
      <c r="E53" s="20" t="n"/>
      <c r="F53" s="21" t="n"/>
      <c r="G53" s="98" t="n"/>
      <c r="H53" s="99" t="n"/>
      <c r="I53" s="100">
        <f>IF(G53="","",G53*H53)</f>
        <v/>
      </c>
      <c r="J53" s="11">
        <f>IF(G53="","",G53*F53)</f>
        <v/>
      </c>
      <c r="K53" s="100">
        <f>IF(J53="","",J53*$M$6/100)</f>
        <v/>
      </c>
      <c r="L53" s="101">
        <f>IF(K53="","",K53-I53)</f>
        <v/>
      </c>
      <c r="M53" s="12">
        <f>IF(OR(F53="",F53=0),"",H53/F53*100)</f>
        <v/>
      </c>
      <c r="N53" s="20" t="n"/>
    </row>
    <row r="54" ht="15.75" customHeight="1">
      <c r="B54" s="92" t="n"/>
      <c r="C54" s="20" t="n"/>
      <c r="D54" s="20" t="n"/>
      <c r="E54" s="20" t="n"/>
      <c r="F54" s="21" t="n"/>
      <c r="G54" s="98" t="n"/>
      <c r="H54" s="99" t="n"/>
      <c r="I54" s="100">
        <f>IF(G54="","",G54*H54)</f>
        <v/>
      </c>
      <c r="J54" s="11">
        <f>IF(G54="","",G54*F54)</f>
        <v/>
      </c>
      <c r="K54" s="100">
        <f>IF(J54="","",J54*$M$6/100)</f>
        <v/>
      </c>
      <c r="L54" s="101">
        <f>IF(K54="","",K54-I54)</f>
        <v/>
      </c>
      <c r="M54" s="12">
        <f>IF(OR(F54="",F54=0),"",H54/F54*100)</f>
        <v/>
      </c>
      <c r="N54" s="20" t="n"/>
    </row>
    <row r="55" ht="15.75" customHeight="1">
      <c r="B55" s="92" t="n"/>
      <c r="C55" s="20" t="n"/>
      <c r="D55" s="20" t="n"/>
      <c r="E55" s="20" t="n"/>
      <c r="F55" s="21" t="n"/>
      <c r="G55" s="98" t="n"/>
      <c r="H55" s="99" t="n"/>
      <c r="I55" s="100">
        <f>IF(G55="","",G55*H55)</f>
        <v/>
      </c>
      <c r="J55" s="11">
        <f>IF(G55="","",G55*F55)</f>
        <v/>
      </c>
      <c r="K55" s="100">
        <f>IF(J55="","",J55*$M$6/100)</f>
        <v/>
      </c>
      <c r="L55" s="101">
        <f>IF(K55="","",K55-I55)</f>
        <v/>
      </c>
      <c r="M55" s="12">
        <f>IF(OR(F55="",F55=0),"",H55/F55*100)</f>
        <v/>
      </c>
      <c r="N55" s="20" t="n"/>
    </row>
    <row r="56" ht="15.75" customHeight="1">
      <c r="B56" s="92" t="n"/>
      <c r="C56" s="20" t="n"/>
      <c r="D56" s="20" t="n"/>
      <c r="E56" s="20" t="n"/>
      <c r="F56" s="21" t="n"/>
      <c r="G56" s="98" t="n"/>
      <c r="H56" s="99" t="n"/>
      <c r="I56" s="100">
        <f>IF(G56="","",G56*H56)</f>
        <v/>
      </c>
      <c r="J56" s="11">
        <f>IF(G56="","",G56*F56)</f>
        <v/>
      </c>
      <c r="K56" s="100">
        <f>IF(J56="","",J56*$M$6/100)</f>
        <v/>
      </c>
      <c r="L56" s="101">
        <f>IF(K56="","",K56-I56)</f>
        <v/>
      </c>
      <c r="M56" s="12">
        <f>IF(OR(F56="",F56=0),"",H56/F56*100)</f>
        <v/>
      </c>
      <c r="N56" s="20" t="n"/>
    </row>
    <row r="57" ht="15.75" customHeight="1">
      <c r="B57" s="92" t="n"/>
      <c r="C57" s="20" t="n"/>
      <c r="D57" s="20" t="n"/>
      <c r="E57" s="20" t="n"/>
      <c r="F57" s="21" t="n"/>
      <c r="G57" s="98" t="n"/>
      <c r="H57" s="99" t="n"/>
      <c r="I57" s="100">
        <f>IF(G57="","",G57*H57)</f>
        <v/>
      </c>
      <c r="J57" s="11">
        <f>IF(G57="","",G57*F57)</f>
        <v/>
      </c>
      <c r="K57" s="100">
        <f>IF(J57="","",J57*$M$6/100)</f>
        <v/>
      </c>
      <c r="L57" s="101">
        <f>IF(K57="","",K57-I57)</f>
        <v/>
      </c>
      <c r="M57" s="12">
        <f>IF(OR(F57="",F57=0),"",H57/F57*100)</f>
        <v/>
      </c>
      <c r="N57" s="20" t="n"/>
    </row>
    <row r="58" ht="15.75" customHeight="1">
      <c r="B58" s="92" t="n"/>
      <c r="C58" s="20" t="n"/>
      <c r="D58" s="20" t="n"/>
      <c r="E58" s="20" t="n"/>
      <c r="F58" s="21" t="n"/>
      <c r="G58" s="98" t="n"/>
      <c r="H58" s="99" t="n"/>
      <c r="I58" s="100">
        <f>IF(G58="","",G58*H58)</f>
        <v/>
      </c>
      <c r="J58" s="11">
        <f>IF(G58="","",G58*F58)</f>
        <v/>
      </c>
      <c r="K58" s="100">
        <f>IF(J58="","",J58*$M$6/100)</f>
        <v/>
      </c>
      <c r="L58" s="101">
        <f>IF(K58="","",K58-I58)</f>
        <v/>
      </c>
      <c r="M58" s="12">
        <f>IF(OR(F58="",F58=0),"",H58/F58*100)</f>
        <v/>
      </c>
      <c r="N58" s="20" t="n"/>
    </row>
    <row r="59" ht="15.75" customHeight="1">
      <c r="B59" s="92" t="n"/>
      <c r="C59" s="20" t="n"/>
      <c r="D59" s="20" t="n"/>
      <c r="E59" s="20" t="n"/>
      <c r="F59" s="21" t="n"/>
      <c r="G59" s="98" t="n"/>
      <c r="H59" s="99" t="n"/>
      <c r="I59" s="100">
        <f>IF(G59="","",G59*H59)</f>
        <v/>
      </c>
      <c r="J59" s="11">
        <f>IF(G59="","",G59*F59)</f>
        <v/>
      </c>
      <c r="K59" s="100">
        <f>IF(J59="","",J59*$M$6/100)</f>
        <v/>
      </c>
      <c r="L59" s="101">
        <f>IF(K59="","",K59-I59)</f>
        <v/>
      </c>
      <c r="M59" s="12">
        <f>IF(OR(F59="",F59=0),"",H59/F59*100)</f>
        <v/>
      </c>
      <c r="N59" s="20" t="n"/>
    </row>
    <row r="60" ht="15.75" customHeight="1"/>
    <row r="61" ht="15" customHeight="1">
      <c r="B61" s="94" t="inlineStr">
        <is>
          <t>TOTALS</t>
        </is>
      </c>
      <c r="C61" s="95" t="n"/>
      <c r="D61" s="95" t="n"/>
      <c r="E61" s="95" t="n"/>
      <c r="F61" s="96" t="n"/>
      <c r="G61" s="102">
        <f>SUM(G11:G60)</f>
        <v/>
      </c>
      <c r="H61" s="29" t="n"/>
      <c r="I61" s="102">
        <f>SUM(I11:I60)</f>
        <v/>
      </c>
      <c r="J61" s="28">
        <f>SUM(J11:J60)</f>
        <v/>
      </c>
      <c r="K61" s="102">
        <f>SUM(K11:K60)</f>
        <v/>
      </c>
      <c r="L61" s="102">
        <f>SUM(L11:L60)</f>
        <v/>
      </c>
      <c r="M61" s="29" t="n"/>
      <c r="N61" s="29" t="n"/>
    </row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2">
    <mergeCell ref="B61:F61"/>
    <mergeCell ref="L5:N5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ColWidth="14.453125" defaultRowHeight="15" customHeight="1"/>
  <cols>
    <col width="2" customWidth="1" min="1" max="1"/>
    <col width="30" customWidth="1" min="2" max="2"/>
    <col width="18" customWidth="1" min="3" max="3"/>
    <col width="4" customWidth="1" min="4" max="4"/>
    <col width="30" customWidth="1" min="5" max="5"/>
    <col width="18" customWidth="1" min="6" max="6"/>
    <col width="4" customWidth="1" min="7" max="7"/>
    <col width="30" customWidth="1" min="8" max="8"/>
    <col width="8.7265625" customWidth="1" min="9" max="11"/>
  </cols>
  <sheetData>
    <row r="2" ht="25" customHeight="1">
      <c r="B2" s="1" t="inlineStr">
        <is>
          <t>Cents Per Point Calculator</t>
        </is>
      </c>
    </row>
    <row r="3" ht="14.5" customHeight="1">
      <c r="B3" s="2" t="inlineStr">
        <is>
          <t>Quick cash vs. points decision for any single booking.</t>
        </is>
      </c>
    </row>
    <row r="5" ht="15" customHeight="1">
      <c r="B5" s="18" t="inlineStr">
        <is>
          <t>INPUTS</t>
        </is>
      </c>
      <c r="C5" s="96" t="n"/>
      <c r="E5" s="18" t="inlineStr">
        <is>
          <t>OUTPUTS</t>
        </is>
      </c>
      <c r="F5" s="96" t="n"/>
    </row>
    <row r="6" ht="14.5" customHeight="1">
      <c r="B6" s="5" t="inlineStr">
        <is>
          <t>Cash Price ($)</t>
        </is>
      </c>
      <c r="C6" s="103" t="n">
        <v>2792</v>
      </c>
      <c r="E6" s="5" t="inlineStr">
        <is>
          <t>Net cash saved by using points</t>
        </is>
      </c>
      <c r="F6" s="104">
        <f>C6-C7</f>
        <v/>
      </c>
    </row>
    <row r="7" ht="14.5" customHeight="1">
      <c r="B7" s="5" t="inlineStr">
        <is>
          <t>Taxes + Fees if using points ($)</t>
        </is>
      </c>
      <c r="C7" s="103" t="n">
        <v>0</v>
      </c>
      <c r="E7" s="5" t="inlineStr">
        <is>
          <t>Cents per point delivered</t>
        </is>
      </c>
      <c r="F7" s="38">
        <f>IF(C8=0,0,(C6-C7)/C8*100)</f>
        <v/>
      </c>
    </row>
    <row r="8" ht="14.5" customHeight="1">
      <c r="B8" s="5" t="inlineStr">
        <is>
          <t>Points Required</t>
        </is>
      </c>
      <c r="C8" s="39" t="n">
        <v>172000</v>
      </c>
      <c r="E8" s="5" t="inlineStr">
        <is>
          <t>Verdict</t>
        </is>
      </c>
      <c r="F8" s="40">
        <f>IF(C8=0,"Enter points",IF((C6-C7)/C8*100&gt;=C9,"✓ Good redemption","✗ Below target — pay cash"))</f>
        <v/>
      </c>
    </row>
    <row r="9" ht="14.5" customHeight="1">
      <c r="B9" s="5" t="inlineStr">
        <is>
          <t>Your Target CPP (¢)</t>
        </is>
      </c>
      <c r="C9" s="30" t="n">
        <v>1.5</v>
      </c>
      <c r="E9" s="5" t="inlineStr">
        <is>
          <t>Points value at your target CPP</t>
        </is>
      </c>
      <c r="F9" s="100">
        <f>C8*C9/100</f>
        <v/>
      </c>
    </row>
    <row r="11" ht="15" customHeight="1">
      <c r="B11" s="94" t="inlineStr">
        <is>
          <t>REFERENCE — typical CPP benchmarks</t>
        </is>
      </c>
      <c r="C11" s="95" t="n"/>
      <c r="D11" s="95" t="n"/>
      <c r="E11" s="95" t="n"/>
      <c r="F11" s="95" t="n"/>
      <c r="G11" s="95" t="n"/>
      <c r="H11" s="96" t="n"/>
    </row>
    <row r="12" ht="14.5" customHeight="1">
      <c r="B12" s="41" t="inlineStr">
        <is>
          <t>Chase UR — transfer to partners</t>
        </is>
      </c>
      <c r="C12" s="15" t="inlineStr">
        <is>
          <t>1.5 - 2.5¢</t>
        </is>
      </c>
    </row>
    <row r="13" ht="14.5" customHeight="1">
      <c r="B13" s="41" t="inlineStr">
        <is>
          <t>Chase UR — CSR portal</t>
        </is>
      </c>
      <c r="C13" s="15" t="inlineStr">
        <is>
          <t>1.5¢</t>
        </is>
      </c>
    </row>
    <row r="14" ht="14.5" customHeight="1">
      <c r="B14" s="41" t="inlineStr">
        <is>
          <t>Amex MR — transfer to airlines</t>
        </is>
      </c>
      <c r="C14" s="15" t="inlineStr">
        <is>
          <t>1.5 - 2¢</t>
        </is>
      </c>
    </row>
    <row r="15" ht="14.5" customHeight="1">
      <c r="B15" s="41" t="inlineStr">
        <is>
          <t>Amex MR — Pay With Points</t>
        </is>
      </c>
      <c r="C15" s="15" t="inlineStr">
        <is>
          <t>0.7¢</t>
        </is>
      </c>
    </row>
    <row r="16" ht="14.5" customHeight="1">
      <c r="B16" s="41" t="inlineStr">
        <is>
          <t>Capital One Miles — transfer</t>
        </is>
      </c>
      <c r="C16" s="15" t="inlineStr">
        <is>
          <t>1.4 - 1.85¢</t>
        </is>
      </c>
    </row>
    <row r="17" ht="14.5" customHeight="1">
      <c r="B17" s="41" t="inlineStr">
        <is>
          <t>Capital One — travel portal</t>
        </is>
      </c>
      <c r="C17" s="15" t="inlineStr">
        <is>
          <t>1.0¢</t>
        </is>
      </c>
    </row>
    <row r="18" ht="14.5" customHeight="1">
      <c r="B18" s="41" t="inlineStr">
        <is>
          <t>Hilton Honors</t>
        </is>
      </c>
      <c r="C18" s="15" t="inlineStr">
        <is>
          <t>0.4 - 0.6¢</t>
        </is>
      </c>
    </row>
    <row r="19" ht="14.5" customHeight="1">
      <c r="B19" s="41" t="inlineStr">
        <is>
          <t>Marriott Bonvoy</t>
        </is>
      </c>
      <c r="C19" s="15" t="inlineStr">
        <is>
          <t>0.7 - 0.9¢</t>
        </is>
      </c>
    </row>
    <row r="20" ht="14.5" customHeight="1">
      <c r="B20" s="41" t="inlineStr">
        <is>
          <t>Bilt — transfer to partners</t>
        </is>
      </c>
      <c r="C20" s="15" t="inlineStr">
        <is>
          <t>1.5 - 2¢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3">
    <mergeCell ref="E5:F5"/>
    <mergeCell ref="B5:C5"/>
    <mergeCell ref="B11:H11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2026-05-20T01:10:11Z</dcterms:created>
  <dcterms:modified xmlns:dcterms="http://purl.org/dc/terms/" xmlns:xsi="http://www.w3.org/2001/XMLSchema-instance" xsi:type="dcterms:W3CDTF">2026-05-20T02:08:46Z</dcterms:modified>
  <cp:lastModifiedBy>nancy liu</cp:lastModifiedBy>
  <cp:revision>0</cp:revision>
</cp:coreProperties>
</file>